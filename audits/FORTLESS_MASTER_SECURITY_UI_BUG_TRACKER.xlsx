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c7c946cc38a4271" /></Relationships>
</file>

<file path=xl/workbook.xml><?xml version="1.0" encoding="utf-8"?>
<x:workbook xmlns:x="http://schemas.openxmlformats.org/spreadsheetml/2006/main">
  <x:sheets>
    <x:sheet xmlns:r="http://schemas.openxmlformats.org/officeDocument/2006/relationships" name="Findings" sheetId="1" r:id="Ra3a5dbe249104833"/>
    <x:sheet xmlns:r="http://schemas.openxmlformats.org/officeDocument/2006/relationships" name="Dashboard" sheetId="2" r:id="R90d3d1708bb74a7a"/>
    <x:sheet xmlns:r="http://schemas.openxmlformats.org/officeDocument/2006/relationships" name="Audit Coverage" sheetId="3" r:id="Rdfc7644eca3241cf"/>
    <x:sheet xmlns:r="http://schemas.openxmlformats.org/officeDocument/2006/relationships" name="Push History" sheetId="4" r:id="Rc3759e6a874b4c5a"/>
    <x:sheet xmlns:r="http://schemas.openxmlformats.org/officeDocument/2006/relationships" name="Status History" sheetId="5" r:id="R1d4e5e9505da4b79"/>
    <x:sheet xmlns:r="http://schemas.openxmlformats.org/officeDocument/2006/relationships" name="Ideas Separate" sheetId="6" r:id="R489c39e9a29c434c"/>
    <x:sheet xmlns:r="http://schemas.openxmlformats.org/officeDocument/2006/relationships" name="How To Update" sheetId="7" r:id="Rd50d91fb8c79463d"/>
  </x:sheets>
</x:workbook>
</file>

<file path=xl/sharedStrings.xml><?xml version="1.0" encoding="utf-8"?>
<x:sst xmlns:x="http://schemas.openxmlformats.org/spreadsheetml/2006/main"/>
</file>

<file path=xl/styles.xml><?xml version="1.0" encoding="utf-8"?>
<x:styleSheet xmlns:x="http://schemas.openxmlformats.org/spreadsheetml/2006/main">
  <x:fonts count="15">
    <x:font>
      <x:sz val="11"/>
      <x:name val="Carlito"/>
    </x:font>
    <x:font>
      <x:b/>
      <x:sz val="17"/>
      <x:color rgb="FFFFFFFF"/>
      <x:name val="Carlito"/>
    </x:font>
    <x:font>
      <x:sz val="10"/>
      <x:color rgb="FFD5E6FE"/>
      <x:name val="Carlito"/>
    </x:font>
    <x:font>
      <x:b/>
      <x:sz val="10"/>
      <x:color rgb="FFFFFFFF"/>
      <x:name val="Carlito"/>
    </x:font>
    <x:font>
      <x:sz val="10"/>
      <x:color rgb="FF172336"/>
      <x:name val="Carlito"/>
    </x:font>
    <x:font>
      <x:b/>
      <x:sz val="19"/>
      <x:color rgb="FFFFFFFF"/>
      <x:name val="Carlito"/>
    </x:font>
    <x:font>
      <x:b/>
      <x:sz val="10"/>
      <x:color rgb="FF64748B"/>
      <x:name val="Carlito"/>
    </x:font>
    <x:font>
      <x:b/>
      <x:sz val="26"/>
      <x:color rgb="FF111827"/>
      <x:name val="Carlito"/>
    </x:font>
    <x:font>
      <x:b/>
      <x:sz val="11"/>
      <x:color rgb="FFFFFFFF"/>
      <x:name val="Carlito"/>
    </x:font>
    <x:font>
      <x:b/>
      <x:sz val="11"/>
      <x:color rgb="FF8A2232"/>
      <x:name val="Carlito"/>
    </x:font>
    <x:font>
      <x:b/>
      <x:sz val="18"/>
      <x:color rgb="FF1E40AF"/>
      <x:name val="Carlito"/>
    </x:font>
    <x:font>
      <x:b/>
      <x:sz val="11"/>
      <x:color rgb="FF172336"/>
      <x:name val="Carlito"/>
    </x:font>
    <x:font>
      <x:sz val="11"/>
      <x:color rgb="FF64748B"/>
      <x:name val="Carlito"/>
    </x:font>
    <x:font>
      <x:sz val="11"/>
      <x:color rgb="FFD5E6FE"/>
      <x:name val="Carlito"/>
    </x:font>
    <x:font>
      <x:b/>
      <x:sz val="18"/>
      <x:color rgb="FFFFFFFF"/>
      <x:name val="Carlito"/>
    </x:font>
  </x:fonts>
  <x:fills count="11">
    <x:fill>
      <x:patternFill patternType="none"/>
    </x:fill>
    <x:fill>
      <x:patternFill patternType="gray125"/>
    </x:fill>
    <x:fill>
      <x:patternFill patternType="solid">
        <x:fgColor rgb="FF111827"/>
      </x:patternFill>
    </x:fill>
    <x:fill>
      <x:patternFill patternType="solid">
        <x:fgColor rgb="FF26344C"/>
      </x:patternFill>
    </x:fill>
    <x:fill>
      <x:patternFill patternType="solid">
        <x:fgColor rgb="FF17263F"/>
      </x:patternFill>
    </x:fill>
    <x:fill>
      <x:patternFill patternType="solid">
        <x:fgColor rgb="FFE9EEF7"/>
      </x:patternFill>
    </x:fill>
    <x:fill>
      <x:patternFill patternType="solid">
        <x:fgColor rgb="FFF4F7FC"/>
      </x:patternFill>
    </x:fill>
    <x:fill>
      <x:patternFill patternType="solid">
        <x:fgColor rgb="FFFFF1F2"/>
      </x:patternFill>
    </x:fill>
    <x:fill>
      <x:patternFill patternType="solid">
        <x:fgColor rgb="FFEBF2FE"/>
      </x:patternFill>
    </x:fill>
    <x:fill>
      <x:patternFill patternType="solid">
        <x:fgColor rgb="FFEFF4FB"/>
      </x:patternFill>
    </x:fill>
    <x:fill>
      <x:patternFill patternType="solid">
        <x:fgColor rgb="FFF8FAFD"/>
      </x:patternFill>
    </x:fill>
  </x:fills>
  <x:borders count="2">
    <x:border/>
    <x:border/>
  </x:borders>
  <x:cellStyleXfs count="1">
    <x:xf numFmtId="0" fontId="0" fillId="0" borderId="0"/>
  </x:cellStyleXfs>
  <x:cellXfs count="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center" wrapText="1"/>
    </x:xf>
    <x:xf numFmtId="0" fontId="5" fillId="2" borderId="0" xfId="0" applyNumberFormat="1" applyFont="1" applyFill="1" applyBorder="1"/>
    <x:xf numFmtId="0" fontId="5" fillId="2" borderId="1" xfId="0" applyNumberFormat="1" applyFont="1" applyFill="1" applyBorder="1"/>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0" fillId="5" borderId="1" xfId="0" applyNumberFormat="1" applyFont="1" applyFill="1" applyBorder="1"/>
    <x:xf numFmtId="0" fontId="6" fillId="5" borderId="1" xfId="0" applyNumberFormat="1" applyFont="1" applyFill="1" applyBorder="1"/>
    <x:xf numFmtId="0" fontId="6" fillId="5" borderId="1" xfId="0" applyNumberFormat="1" applyFont="1" applyFill="1" applyBorder="1" applyAlignment="1">
      <x:alignment horizontal="center"/>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7" fillId="6" borderId="0" xfId="0" applyNumberFormat="1" applyFont="1" applyFill="1" applyBorder="1" applyAlignment="1">
      <x:alignment horizontal="center" vertical="center"/>
    </x:xf>
    <x:xf numFmtId="0" fontId="0" fillId="6" borderId="1" xfId="0" applyNumberFormat="1" applyFont="1" applyFill="1" applyBorder="1"/>
    <x:xf numFmtId="0" fontId="7" fillId="6" borderId="1" xfId="0" applyNumberFormat="1" applyFont="1" applyFill="1" applyBorder="1"/>
    <x:xf numFmtId="0" fontId="7" fillId="6" borderId="1"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8" fillId="4" borderId="0" xfId="0" applyNumberFormat="1" applyFont="1" applyFill="1" applyBorder="1"/>
    <x:xf numFmtId="0" fontId="8" fillId="4" borderId="1" xfId="0" applyNumberFormat="1" applyFont="1" applyFill="1" applyBorder="1"/>
    <x:xf numFmtId="0" fontId="0" fillId="7" borderId="0" xfId="0" applyNumberFormat="1" applyFont="1" applyFill="1" applyBorder="1"/>
    <x:xf numFmtId="0" fontId="9" fillId="7" borderId="0" xfId="0" applyNumberFormat="1" applyFont="1" applyFill="1" applyBorder="1"/>
    <x:xf numFmtId="0" fontId="9" fillId="7" borderId="0" xfId="0" applyNumberFormat="1" applyFont="1" applyFill="1" applyBorder="1" applyAlignment="1">
      <x:alignment wrapText="1"/>
    </x:xf>
    <x:xf numFmtId="0" fontId="9" fillId="7" borderId="0" xfId="0" applyNumberFormat="1" applyFont="1" applyFill="1" applyBorder="1" applyAlignment="1">
      <x:alignment vertical="center" wrapText="1"/>
    </x:xf>
    <x:xf numFmtId="0" fontId="0" fillId="7" borderId="1" xfId="0" applyNumberFormat="1" applyFont="1" applyFill="1" applyBorder="1"/>
    <x:xf numFmtId="0" fontId="9" fillId="7" borderId="1" xfId="0" applyNumberFormat="1" applyFont="1" applyFill="1" applyBorder="1"/>
    <x:xf numFmtId="0" fontId="9" fillId="7" borderId="1" xfId="0" applyNumberFormat="1" applyFont="1" applyFill="1" applyBorder="1" applyAlignment="1">
      <x:alignment wrapText="1"/>
    </x:xf>
    <x:xf numFmtId="0" fontId="9" fillId="7" borderId="1"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x:xf numFmtId="0" fontId="10" fillId="8" borderId="0" xfId="0" applyNumberFormat="1" applyFont="1" applyFill="1" applyBorder="1" applyAlignment="1">
      <x:alignment horizontal="center"/>
    </x:xf>
    <x:xf numFmtId="0" fontId="10" fillId="8" borderId="0" xfId="0" applyNumberFormat="1" applyFont="1" applyFill="1" applyBorder="1" applyAlignment="1">
      <x:alignment horizontal="center" vertical="center"/>
    </x:xf>
    <x:xf numFmtId="0" fontId="0" fillId="8" borderId="1" xfId="0" applyNumberFormat="1" applyFont="1" applyFill="1" applyBorder="1"/>
    <x:xf numFmtId="0" fontId="10" fillId="8" borderId="1" xfId="0" applyNumberFormat="1" applyFont="1" applyFill="1" applyBorder="1"/>
    <x:xf numFmtId="0" fontId="10" fillId="8" borderId="1" xfId="0" applyNumberFormat="1" applyFont="1" applyFill="1" applyBorder="1" applyAlignment="1">
      <x:alignment horizontal="center"/>
    </x:xf>
    <x:xf numFmtId="0" fontId="10" fillId="8" borderId="1" xfId="0" applyNumberFormat="1" applyFont="1" applyFill="1" applyBorder="1" applyAlignment="1">
      <x:alignment horizontal="center" vertical="center"/>
    </x:xf>
    <x:xf numFmtId="0" fontId="0" fillId="9" borderId="0" xfId="0" applyNumberFormat="1" applyFont="1" applyFill="1" applyBorder="1"/>
    <x:xf numFmtId="0" fontId="11" fillId="9" borderId="0" xfId="0" applyNumberFormat="1" applyFont="1" applyFill="1" applyBorder="1"/>
    <x:xf numFmtId="0" fontId="0" fillId="9" borderId="1" xfId="0" applyNumberFormat="1" applyFont="1" applyFill="1" applyBorder="1"/>
    <x:xf numFmtId="0" fontId="11" fillId="9" borderId="1" xfId="0" applyNumberFormat="1" applyFont="1" applyFill="1" applyBorder="1"/>
    <x:xf numFmtId="0" fontId="0" fillId="10" borderId="0" xfId="0" applyNumberFormat="1" applyFont="1" applyFill="1" applyBorder="1"/>
    <x:xf numFmtId="0" fontId="12" fillId="10" borderId="0" xfId="0" applyNumberFormat="1" applyFont="1" applyFill="1" applyBorder="1"/>
    <x:xf numFmtId="0" fontId="0" fillId="10" borderId="1" xfId="0" applyNumberFormat="1" applyFont="1" applyFill="1" applyBorder="1"/>
    <x:xf numFmtId="0" fontId="12" fillId="10" borderId="1" xfId="0" applyNumberFormat="1" applyFont="1" applyFill="1" applyBorder="1"/>
    <x:xf numFmtId="0" fontId="13" fillId="3" borderId="0" xfId="0" applyNumberFormat="1" applyFont="1" applyFill="1" applyBorder="1"/>
    <x:xf numFmtId="0" fontId="13" fillId="3" borderId="1"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14" fillId="2" borderId="0" xfId="0" applyNumberFormat="1" applyFont="1" applyFill="1" applyBorder="1"/>
    <x:xf numFmtId="0" fontId="14" fillId="2" borderId="1" xfId="0" applyNumberFormat="1" applyFont="1" applyFill="1" applyBorder="1"/>
    <x:xf numFmtId="0" fontId="0" fillId="0" borderId="0" xfId="0" applyNumberFormat="1" applyFont="1" applyFill="1" applyBorder="1"/>
  </x:cellXfs>
  <x:cellStyles count="1">
    <x:cellStyle name="Normal" xfId="0"/>
  </x:cellStyles>
  <x:dxfs count="13">
    <x:dxf>
      <x:fill>
        <x:patternFill>
          <x:bgColor rgb="FFFEE2E2"/>
        </x:patternFill>
      </x:fill>
    </x:dxf>
    <x:dxf>
      <x:fill>
        <x:patternFill>
          <x:bgColor rgb="FFFFF1D6"/>
        </x:patternFill>
      </x:fill>
    </x:dxf>
    <x:dxf>
      <x:fill>
        <x:patternFill>
          <x:bgColor rgb="FFDBEAFE"/>
        </x:patternFill>
      </x:fill>
    </x:dxf>
    <x:dxf>
      <x:fill>
        <x:patternFill>
          <x:bgColor rgb="FFE0F7E9"/>
        </x:patternFill>
      </x:fill>
    </x:dxf>
    <x:dxf>
      <x:fill>
        <x:patternFill>
          <x:bgColor rgb="FFF3E8FF"/>
        </x:patternFill>
      </x:fill>
    </x:dxf>
    <x:dxf>
      <x:fill>
        <x:patternFill>
          <x:bgColor rgb="FFFCE7F3"/>
        </x:patternFill>
      </x:fill>
    </x:dxf>
    <x:dxf>
      <x:fill>
        <x:patternFill>
          <x:bgColor rgb="FFE7F8F0"/>
        </x:patternFill>
      </x:fill>
    </x:dxf>
    <x:dxf>
      <x:fill>
        <x:patternFill>
          <x:bgColor rgb="FFF5F5F4"/>
        </x:patternFill>
      </x:fill>
    </x:dxf>
    <x:dxf>
      <x:fill>
        <x:patternFill patternType="solid">
          <x:bgColor rgb="FFFEE2E2"/>
        </x:patternFill>
      </x:fill>
    </x:dxf>
    <x:dxf>
      <x:fill>
        <x:patternFill patternType="solid">
          <x:bgColor rgb="FFFFF1D6"/>
        </x:patternFill>
      </x:fill>
    </x:dxf>
    <x:dxf>
      <x:fill>
        <x:patternFill patternType="solid">
          <x:bgColor rgb="FFF3E8FF"/>
        </x:patternFill>
      </x:fill>
    </x:dxf>
    <x:dxf>
      <x:fill>
        <x:patternFill patternType="solid">
          <x:bgColor rgb="FFDBEAFE"/>
        </x:patternFill>
      </x:fill>
    </x:dxf>
    <x:dxf>
      <x:fill>
        <x:patternFill patternType="solid">
          <x:bgColor rgb="FFE0F7E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edcec3555549ff" /><Relationship Type="http://schemas.openxmlformats.org/officeDocument/2006/relationships/theme" Target="/xl/theme/theme1.xml" Id="Rc960042c4a1d4af8" /><Relationship Type="http://schemas.openxmlformats.org/officeDocument/2006/relationships/sharedStrings" Target="/xl/sharedStrings.xml" Id="R00929880815243a8" /><Relationship Type="http://schemas.openxmlformats.org/officeDocument/2006/relationships/worksheet" Target="/xl/worksheets/sheet1.xml" Id="Ra3a5dbe249104833" /><Relationship Type="http://schemas.openxmlformats.org/officeDocument/2006/relationships/worksheet" Target="/xl/worksheets/sheet2.xml" Id="R90d3d1708bb74a7a" /><Relationship Type="http://schemas.openxmlformats.org/officeDocument/2006/relationships/worksheet" Target="/xl/worksheets/sheet3.xml" Id="Rdfc7644eca3241cf" /><Relationship Type="http://schemas.openxmlformats.org/officeDocument/2006/relationships/worksheet" Target="/xl/worksheets/sheet4.xml" Id="Rc3759e6a874b4c5a" /><Relationship Type="http://schemas.openxmlformats.org/officeDocument/2006/relationships/worksheet" Target="/xl/worksheets/sheet5.xml" Id="R1d4e5e9505da4b79" /><Relationship Type="http://schemas.openxmlformats.org/officeDocument/2006/relationships/worksheet" Target="/xl/worksheets/sheet6.xml" Id="R489c39e9a29c434c" /><Relationship Type="http://schemas.openxmlformats.org/officeDocument/2006/relationships/worksheet" Target="/xl/worksheets/sheet7.xml" Id="Rd50d91fb8c79463d" /></Relationships>
</file>

<file path=xl/tables/table1.xml><?xml version="1.0" encoding="utf-8"?>
<x:table xmlns:x="http://schemas.openxmlformats.org/spreadsheetml/2006/main" id="1" name="FortlessFindings" displayName="FortlessFindings" ref="A3:S77" headerRowCount="1" totalsRowCount="0" totalsRowShown="0">
  <x:tableColumns count="19">
    <x:tableColumn id="1" name="ID"/>
    <x:tableColumn id="2" name="Priority"/>
    <x:tableColumn id="3" name="Severity"/>
    <x:tableColumn id="4" name="Domain"/>
    <x:tableColumn id="5" name="Finding"/>
    <x:tableColumn id="6" name="Status"/>
    <x:tableColumn id="7" name="First seen"/>
    <x:tableColumn id="8" name="Last reviewed"/>
    <x:tableColumn id="9" name="Found @"/>
    <x:tableColumn id="10" name="Reviewed @"/>
    <x:tableColumn id="11" name="Affected files"/>
    <x:tableColumn id="12" name="Evidence in code"/>
    <x:tableColumn id="13" name="Impact / risk"/>
    <x:tableColumn id="14" name="Required fix"/>
    <x:tableColumn id="15" name="Acceptance test"/>
    <x:tableColumn id="16" name="Source document"/>
    <x:tableColumn id="17" name="Source URL"/>
    <x:tableColumn id="18" name="Owner"/>
    <x:tableColumn id="19" name="Notes / verification"/>
  </x:tableColumns>
  <x:tableStyleInfo name="TableStyleMedium2" showFirstColumn="0" showLastColumn="0" showRowStripes="1" showColumnStripes="0"/>
</x:table>
</file>

<file path=xl/tables/table2.xml><?xml version="1.0" encoding="utf-8"?>
<x:table xmlns:x="http://schemas.openxmlformats.org/spreadsheetml/2006/main" id="2" name="SecurityCoverage" displayName="SecurityCoverage" ref="A3:E33" headerRowCount="1" totalsRowCount="0" totalsRowShown="0">
  <x:tableColumns count="5">
    <x:tableColumn id="1" name="#"/>
    <x:tableColumn id="2" name="Domain"/>
    <x:tableColumn id="3" name="Scope"/>
    <x:tableColumn id="4" name="Related finding IDs"/>
    <x:tableColumn id="5" name="Audit coverag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06e05c174ae46bb" /></Relationships>
</file>

<file path=xl/worksheets/_rels/sheet3.xml.rels>&#65279;<?xml version="1.0" encoding="utf-8"?><Relationships xmlns="http://schemas.openxmlformats.org/package/2006/relationships"><Relationship Type="http://schemas.openxmlformats.org/officeDocument/2006/relationships/table" Target="/xl/tables/table2.xml" Id="R713fc674367a4f18" /></Relationships>
</file>

<file path=xl/worksheets/sheet1.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6" hidden="0" customWidth="1"/>
    <x:col min="2" max="2" width="11" hidden="0" customWidth="1"/>
    <x:col min="3" max="3" width="11" hidden="0" customWidth="1"/>
    <x:col min="4" max="4" width="20" hidden="0" customWidth="1"/>
    <x:col min="5" max="5" width="45" hidden="0" customWidth="1"/>
    <x:col min="6" max="6" width="24" hidden="0" customWidth="1"/>
    <x:col min="7" max="7" width="14" hidden="0" customWidth="1"/>
    <x:col min="8" max="8" width="14" hidden="0" customWidth="1"/>
    <x:col min="9" max="9" width="13" hidden="0" customWidth="1"/>
    <x:col min="10" max="10" width="13" hidden="0" customWidth="1"/>
    <x:col min="11" max="11" width="44" hidden="0" customWidth="1"/>
    <x:col min="12" max="12" width="48" hidden="0" customWidth="1"/>
    <x:col min="13" max="13" width="48" hidden="0" customWidth="1"/>
    <x:col min="14" max="14" width="48" hidden="0" customWidth="1"/>
    <x:col min="15" max="15" width="48" hidden="0" customWidth="1"/>
    <x:col min="16" max="16" width="34" hidden="0" customWidth="1"/>
    <x:col min="17" max="17" width="51" hidden="0" customWidth="1"/>
    <x:col min="18" max="18" width="13" hidden="0" customWidth="1"/>
    <x:col min="19" max="19" width="45" hidden="0" customWidth="1"/>
  </x:cols>
  <x:sheetData>
    <x:row r="1" ht="36" customHeight="1">
      <x:c r="A1" s="3" t="str">
        <x:v>FORTLESS   /   ENGINEERING FINDINGS REGISTER</x:v>
      </x:c>
      <x:c r="B1" s="3"/>
      <x:c r="C1" s="3"/>
      <x:c r="D1" s="3"/>
      <x:c r="E1" s="3"/>
      <x:c r="F1" s="3"/>
      <x:c r="G1" s="3"/>
      <x:c r="H1" s="3"/>
      <x:c r="I1" s="3"/>
      <x:c r="J1" s="3"/>
      <x:c r="K1" s="3"/>
      <x:c r="L1" s="3"/>
      <x:c r="M1" s="3"/>
      <x:c r="N1" s="3"/>
      <x:c r="O1" s="3"/>
      <x:c r="P1" s="3"/>
      <x:c r="Q1" s="3"/>
      <x:c r="R1" s="3"/>
      <x:c r="S1" s="3"/>
    </x:row>
    <x:row r="2" ht="28" customHeight="1">
      <x:c r="A2" s="7" t="str">
        <x:v>MASTER TRACKER  •  6203687 HEAD rechecked 19 Oct 2026  •  11 added findings  •  fixes still require independent tests</x:v>
      </x:c>
      <x:c r="B2" s="7"/>
      <x:c r="C2" s="7"/>
      <x:c r="D2" s="7"/>
      <x:c r="E2" s="7"/>
      <x:c r="F2" s="7"/>
      <x:c r="G2" s="7"/>
      <x:c r="H2" s="7"/>
      <x:c r="I2" s="7"/>
      <x:c r="J2" s="7"/>
      <x:c r="K2" s="7"/>
      <x:c r="L2" s="7"/>
      <x:c r="M2" s="7"/>
      <x:c r="N2" s="7"/>
      <x:c r="O2" s="7"/>
      <x:c r="P2" s="7"/>
      <x:c r="Q2" s="7"/>
      <x:c r="R2" s="7"/>
      <x:c r="S2" s="7"/>
    </x:row>
    <x:row r="3" ht="33" customHeight="1">
      <x:c r="A3" s="12" t="str">
        <x:v>ID</x:v>
      </x:c>
      <x:c r="B3" s="12" t="str">
        <x:v>Priority</x:v>
      </x:c>
      <x:c r="C3" s="12" t="str">
        <x:v>Severity</x:v>
      </x:c>
      <x:c r="D3" s="12" t="str">
        <x:v>Domain</x:v>
      </x:c>
      <x:c r="E3" s="12" t="str">
        <x:v>Finding</x:v>
      </x:c>
      <x:c r="F3" s="12" t="str">
        <x:v>Status</x:v>
      </x:c>
      <x:c r="G3" s="12" t="str">
        <x:v>First seen</x:v>
      </x:c>
      <x:c r="H3" s="12" t="str">
        <x:v>Last reviewed</x:v>
      </x:c>
      <x:c r="I3" s="12" t="str">
        <x:v>Found @</x:v>
      </x:c>
      <x:c r="J3" s="12" t="str">
        <x:v>Reviewed @</x:v>
      </x:c>
      <x:c r="K3" s="12" t="str">
        <x:v>Affected files</x:v>
      </x:c>
      <x:c r="L3" s="12" t="str">
        <x:v>Evidence in code</x:v>
      </x:c>
      <x:c r="M3" s="12" t="str">
        <x:v>Impact / risk</x:v>
      </x:c>
      <x:c r="N3" s="12" t="str">
        <x:v>Required fix</x:v>
      </x:c>
      <x:c r="O3" s="12" t="str">
        <x:v>Acceptance test</x:v>
      </x:c>
      <x:c r="P3" s="12" t="str">
        <x:v>Source document</x:v>
      </x:c>
      <x:c r="Q3" s="12" t="str">
        <x:v>Source URL</x:v>
      </x:c>
      <x:c r="R3" s="12" t="str">
        <x:v>Owner</x:v>
      </x:c>
      <x:c r="S3" s="12" t="str">
        <x:v>Notes / verification</x:v>
      </x:c>
    </x:row>
    <x:row r="4" ht="66" customHeight="1">
      <x:c r="A4" s="18" t="str">
        <x:v>SEC-01</x:v>
      </x:c>
      <x:c r="B4" s="18" t="str">
        <x:v>P0</x:v>
      </x:c>
      <x:c r="C4" s="18" t="str">
        <x:v>HIGH</x:v>
      </x:c>
      <x:c r="D4" s="18" t="str">
        <x:v>Security</x:v>
      </x:c>
      <x:c r="E4" s="18" t="str">
        <x:v>SMTP TLS certificate validation is disabled</x:v>
      </x:c>
      <x:c r="F4" s="18" t="str">
        <x:v>FIXED_IN_CODE</x:v>
      </x:c>
      <x:c r="G4" s="18" t="str">
        <x:v>2026-10-19</x:v>
      </x:c>
      <x:c r="H4" s="18" t="str">
        <x:v>2026-10-19</x:v>
      </x:c>
      <x:c r="I4" s="18" t="str">
        <x:v>9dacfcb</x:v>
      </x:c>
      <x:c r="J4" s="18" t="str">
        <x:v>6203687</x:v>
      </x:c>
      <x:c r="K4" s="18" t="str">
        <x:v>src/modules/email/outbox.ts</x:v>
      </x:c>
      <x:c r="L4" s="18" t="str">
        <x:v>src/modules/email/outbox.ts, SmtpEmailTransportAdapter.getTransporter(): Nodemailer transport sets tls.rejectUnauthorized: false.</x:v>
      </x:c>
      <x:c r="M4" s="18" t="str">
        <x:v>a forged or untrusted TLS certificate can be accepted. Depending on network and SMTP server behavior, SMTP authentication credentials and email contents may be exposed to interception. This is unacceptable for production email, especially account-recovery flows.</x:v>
      </x:c>
      <x:c r="N4" s="18" t="str">
        <x:v>remove the bypass; use correctly configured TLS, validated certificates, proper hostname verification and operational SMTP tests. Test rejection of a bad certificate and successful authorized STARTTLS/TLS exchange.</x:v>
      </x:c>
      <x:c r="O4" s="18" t="str"/>
      <x:c r="P4" s="18" t="str">
        <x:v>FORTLESS_AUDIT_2026-10-19.md</x:v>
      </x:c>
      <x:c r="Q4" s="18" t="str">
        <x:v>https://github.com/trencito42/fortless/blob/9dacfcb70de10496e1740151f39090ad5a046f4a/src/modules/email/outbox.ts</x:v>
      </x:c>
      <x:c r="R4" s="18" t="str">
        <x:v>Coding AI</x:v>
      </x:c>
      <x:c r="S4" s="18" t="str">
        <x:v>SMTP TLS bypass removed, independent SMTP live test still needed</x:v>
      </x:c>
    </x:row>
    <x:row r="5" ht="66" customHeight="1">
      <x:c r="A5" s="18" t="str">
        <x:v>SEC-02</x:v>
      </x:c>
      <x:c r="B5" s="18" t="str">
        <x:v>P0</x:v>
      </x:c>
      <x:c r="C5" s="18" t="str">
        <x:v>HIGH</x:v>
      </x:c>
      <x:c r="D5" s="18" t="str">
        <x:v>Security</x:v>
      </x:c>
      <x:c r="E5" s="18" t="str">
        <x:v>EMAIL_MODE=live can silently fall back to local sandbox</x:v>
      </x:c>
      <x:c r="F5" s="18" t="str">
        <x:v>FIXED_IN_CODE</x:v>
      </x:c>
      <x:c r="G5" s="18" t="str">
        <x:v>2026-10-19</x:v>
      </x:c>
      <x:c r="H5" s="18" t="str">
        <x:v>2026-10-19</x:v>
      </x:c>
      <x:c r="I5" s="18" t="str">
        <x:v>9dacfcb</x:v>
      </x:c>
      <x:c r="J5" s="18" t="str">
        <x:v>6203687</x:v>
      </x:c>
      <x:c r="K5" s="18" t="str"/>
      <x:c r="L5" s="18" t="str">
        <x:v>same outbox.ts: when this.pass is empty, SmtpEmailTransportAdapter.send() instantiates SandboxEmailTransportAdapter and returns a success result; the sandbox writes JSON receipts under data/sandbox_mail. Current .env.example declares EMAIL_MODE=live with empty SMTP_PASSWORD.</x:v>
      </x:c>
      <x:c r="M5" s="18" t="str">
        <x:v>legitimate verification/reset/invitation mail may be marked SENT without email delivery. Sandbox receipts may also persist messages containing sensitive one-time URLs locally.</x:v>
      </x:c>
      <x:c r="N5" s="18" t="str">
        <x:v>make missing credentials a fail-closed configuration error in live mode; never report a simulated dispatch as a live SMTP acceptance. Keep sandbox explicitly operator-selected. Add status distinction QUEUED, SMTP_ACCEPTED, DELIVERED if provider feedback is available, FAILED and DEAD_LETTER.</x:v>
      </x:c>
      <x:c r="O5" s="18" t="str"/>
      <x:c r="P5" s="18" t="str">
        <x:v>FORTLESS_AUDIT_2026-10-19.md</x:v>
      </x:c>
      <x:c r="Q5" s="18" t="str">
        <x:v>https://github.com/trencito42/fortless/blob/9dacfcb70de10496e1740151f39090ad5a046f4a/README.md</x:v>
      </x:c>
      <x:c r="R5" s="18" t="str">
        <x:v>Coding AI</x:v>
      </x:c>
      <x:c r="S5" s="18" t="str">
        <x:v>Live SMTP now fails closed; verify deployed configuration</x:v>
      </x:c>
    </x:row>
    <x:row r="6" ht="66" customHeight="1">
      <x:c r="A6" s="18" t="str">
        <x:v>SEC-03</x:v>
      </x:c>
      <x:c r="B6" s="18" t="str">
        <x:v>P0</x:v>
      </x:c>
      <x:c r="C6" s="18" t="str">
        <x:v>HIGH</x:v>
      </x:c>
      <x:c r="D6" s="18" t="str">
        <x:v>Security</x:v>
      </x:c>
      <x:c r="E6" s="18" t="str">
        <x:v>Same User-Agent deduplication can revoke other devices before MFA completes</x:v>
      </x:c>
      <x:c r="F6" s="18" t="str">
        <x:v>FIXED_IN_CODE</x:v>
      </x:c>
      <x:c r="G6" s="18" t="str">
        <x:v>2026-10-19</x:v>
      </x:c>
      <x:c r="H6" s="18" t="str">
        <x:v>2026-10-19</x:v>
      </x:c>
      <x:c r="I6" s="18" t="str">
        <x:v>9dacfcb</x:v>
      </x:c>
      <x:c r="J6" s="18" t="str">
        <x:v>6203687</x:v>
      </x:c>
      <x:c r="K6" s="18" t="str">
        <x:v>src/modules/identity/auth.ts</x:v>
      </x:c>
      <x:c r="L6" s="18" t="str">
        <x:v>src/modules/identity/auth.ts, createSessionForUser() deletes all rows with matching (user_id, user_agent) before inserting a new session; loginUser() calls this before checking/completing required MFA.</x:v>
      </x:c>
      <x:c r="M6" s="18" t="str">
        <x:v>two devices can share an identical User-Agent; failed or abandoned attempts can kick out a currently authenticated device. This also affects passkey issuance through the same helper.</x:v>
      </x:c>
      <x:c r="N6" s="18" t="str">
        <x:v>create a random persistent browser-installation identifier distinct from the authentication token; do not treat User-Agent or IP as identity. Finalize sign-in (including MFA) before replacing an existing session for that same browser installation. Preserve independent session control and audit history. Avoid using an unsafely trusted browser identifier as the sole security proof.</x:v>
      </x:c>
      <x:c r="O6" s="18" t="str"/>
      <x:c r="P6" s="18" t="str">
        <x:v>FORTLESS_AUDIT_2026-10-19.md</x:v>
      </x:c>
      <x:c r="Q6" s="18" t="str">
        <x:v>https://github.com/trencito42/fortless/blob/9dacfcb70de10496e1740151f39090ad5a046f4a/src/modules/identity/auth.ts</x:v>
      </x:c>
      <x:c r="R6" s="18" t="str">
        <x:v>Coding AI</x:v>
      </x:c>
      <x:c r="S6" s="18" t="str">
        <x:v>Device ID dedup replaces User-Agent before MFA, follow-up SEC-202 open</x:v>
      </x:c>
    </x:row>
    <x:row r="7" ht="66" customHeight="1">
      <x:c r="A7" s="18" t="str">
        <x:v>SEC-04</x:v>
      </x:c>
      <x:c r="B7" s="18" t="str">
        <x:v>P0</x:v>
      </x:c>
      <x:c r="C7" s="18" t="str">
        <x:v>HIGH</x:v>
      </x:c>
      <x:c r="D7" s="18" t="str">
        <x:v>Security</x:v>
      </x:c>
      <x:c r="E7" s="18" t="str">
        <x:v>Pending MFA challenges have an overly long lifetime and per-session attempt accounting</x:v>
      </x:c>
      <x:c r="F7" s="18" t="str">
        <x:v>PARTIAL</x:v>
      </x:c>
      <x:c r="G7" s="18" t="str">
        <x:v>2026-10-19</x:v>
      </x:c>
      <x:c r="H7" s="18" t="str">
        <x:v>2026-10-19</x:v>
      </x:c>
      <x:c r="I7" s="18" t="str">
        <x:v>9dacfcb</x:v>
      </x:c>
      <x:c r="J7" s="18" t="str">
        <x:v>6203687</x:v>
      </x:c>
      <x:c r="K7" s="18" t="str"/>
      <x:c r="L7" s="18" t="str">
        <x:v>SESSION_TTL_MS is 14 days; pending MFA sessions are inserted with that TTL; completeMfaChallenge() counts recent failed attempts by session_id within a 15-minute window. Fresh password-authenticated pending sessions use new IDs; there is no visible distinct short-lived MFA challenge TTL in the checked auth code.</x:v>
      </x:c>
      <x:c r="M7" s="18" t="str">
        <x:v>unnecessarily persistent MFA pending tokens and insufficient cumulative rate enforcement across attempts/sessions for the same identity. The UI hides pending sessions instead of making them short-lived and revocable through an appropriate security flow.</x:v>
      </x:c>
      <x:c r="N7" s="18" t="str">
        <x:v>short pending-MFA TTL (5–10 minutes), bounded total attempts, rate limits per account and other abuse signals across sessions, secure invalidation upon completion or expiration and audited lockout/recovery policies. Do not count successful password checks as completed sign-ins until MFA is passed.</x:v>
      </x:c>
      <x:c r="O7" s="18" t="str"/>
      <x:c r="P7" s="18" t="str">
        <x:v>FORTLESS_AUDIT_2026-10-19.md</x:v>
      </x:c>
      <x:c r="Q7" s="18" t="str">
        <x:v>https://github.com/trencito42/fortless/blob/9dacfcb70de10496e1740151f39090ad5a046f4a/README.md</x:v>
      </x:c>
      <x:c r="R7" s="18" t="str">
        <x:v>Coding AI</x:v>
      </x:c>
      <x:c r="S7" s="18" t="str">
        <x:v>Pending MFA 15-min limit added; per-user attempt reset issue remains FTL-SEC-202</x:v>
      </x:c>
    </x:row>
    <x:row r="8" ht="66" customHeight="1">
      <x:c r="A8" s="18" t="str">
        <x:v>SEC-05</x:v>
      </x:c>
      <x:c r="B8" s="18" t="str">
        <x:v>P1</x:v>
      </x:c>
      <x:c r="C8" s="18" t="str">
        <x:v>MEDIUM</x:v>
      </x:c>
      <x:c r="D8" s="18" t="str">
        <x:v>Security</x:v>
      </x:c>
      <x:c r="E8" s="18" t="str">
        <x:v>Notification-read authorization lacks user-level check</x:v>
      </x:c>
      <x:c r="F8" s="18" t="str">
        <x:v>FIXED_IN_CODE</x:v>
      </x:c>
      <x:c r="G8" s="18" t="str">
        <x:v>2026-10-19</x:v>
      </x:c>
      <x:c r="H8" s="18" t="str">
        <x:v>2026-10-19</x:v>
      </x:c>
      <x:c r="I8" s="18" t="str">
        <x:v>9dacfcb</x:v>
      </x:c>
      <x:c r="J8" s="18" t="str">
        <x:v>6203687</x:v>
      </x:c>
      <x:c r="K8" s="18" t="str">
        <x:v>src/modules/notifications/notifications.ts, src/server.ts</x:v>
      </x:c>
      <x:c r="L8" s="18" t="str">
        <x:v>src/modules/notifications/notifications.ts markNotificationRead(notificationId, accountId) filters by notification ID and account ID only. src/server.ts calls it from POST /api/v1/notifications/:id/read without req.auth.user.id.</x:v>
      </x:c>
      <x:c r="M8" s="18" t="str">
        <x:v>if a workspace member obtains another member's personal notification ID, they can mark it read. IDs are random, so this is not an assertion of easy enumeration; it is a scope defect.</x:v>
      </x:c>
      <x:c r="N8" s="18" t="str">
        <x:v>require (user_id IS NULL OR user_id = currentUserId) or explicitly model shared notification-read semantics; add two-user same-workspace regression tests.</x:v>
      </x:c>
      <x:c r="O8" s="18" t="str"/>
      <x:c r="P8" s="18" t="str">
        <x:v>FORTLESS_AUDIT_2026-10-19.md</x:v>
      </x:c>
      <x:c r="Q8" s="18" t="str">
        <x:v>https://github.com/trencito42/fortless/blob/9dacfcb70de10496e1740151f39090ad5a046f4a/src/modules/notifications/notifications.ts</x:v>
      </x:c>
      <x:c r="R8" s="18" t="str">
        <x:v>Coding AI</x:v>
      </x:c>
      <x:c r="S8" s="18" t="str">
        <x:v>Read notification now scoped to personal user</x:v>
      </x:c>
    </x:row>
    <x:row r="9" ht="66" customHeight="1">
      <x:c r="A9" s="18" t="str">
        <x:v>SEC-06</x:v>
      </x:c>
      <x:c r="B9" s="18" t="str">
        <x:v>P1</x:v>
      </x:c>
      <x:c r="C9" s="18" t="str">
        <x:v>MEDIUM</x:v>
      </x:c>
      <x:c r="D9" s="18" t="str">
        <x:v>Security</x:v>
      </x:c>
      <x:c r="E9" s="18" t="str">
        <x:v>Any authenticated user can see platform-wide email queue counts</x:v>
      </x:c>
      <x:c r="F9" s="18" t="str">
        <x:v>FIXED_IN_CODE</x:v>
      </x:c>
      <x:c r="G9" s="18" t="str">
        <x:v>2026-10-19</x:v>
      </x:c>
      <x:c r="H9" s="18" t="str">
        <x:v>2026-10-19</x:v>
      </x:c>
      <x:c r="I9" s="18" t="str">
        <x:v>9dacfcb</x:v>
      </x:c>
      <x:c r="J9" s="18" t="str">
        <x:v>6203687</x:v>
      </x:c>
      <x:c r="K9" s="18" t="str">
        <x:v>src/server.ts</x:v>
      </x:c>
      <x:c r="L9" s="18" t="str">
        <x:v>GET /api/v1/email/status in src/server.ts aggregates all rows from email_outbox without recipient/account filtering. Only requireAuth is applied.</x:v>
      </x:c>
      <x:c r="M9" s="18" t="str">
        <x:v>cross-tenant operational metadata disclosure and misleading client-side status.</x:v>
      </x:c>
      <x:c r="N9" s="18" t="str">
        <x:v>move global delivery status to staff-only operational API, or expose the current user's scoped delivery status with appropriate minimization and privacy rules.</x:v>
      </x:c>
      <x:c r="O9" s="18" t="str"/>
      <x:c r="P9" s="18" t="str">
        <x:v>FORTLESS_AUDIT_2026-10-19.md</x:v>
      </x:c>
      <x:c r="Q9" s="18" t="str">
        <x:v>https://github.com/trencito42/fortless/blob/9dacfcb70de10496e1740151f39090ad5a046f4a/src/server.ts</x:v>
      </x:c>
      <x:c r="R9" s="18" t="str">
        <x:v>Coding AI</x:v>
      </x:c>
      <x:c r="S9" s="18" t="str">
        <x:v>Email queue status now scoped for standard user</x:v>
      </x:c>
    </x:row>
    <x:row r="10" ht="66" customHeight="1">
      <x:c r="A10" s="18" t="str">
        <x:v>SEC-07</x:v>
      </x:c>
      <x:c r="B10" s="18" t="str">
        <x:v>P1</x:v>
      </x:c>
      <x:c r="C10" s="18" t="str">
        <x:v>MEDIUM</x:v>
      </x:c>
      <x:c r="D10" s="18" t="str">
        <x:v>Security</x:v>
      </x:c>
      <x:c r="E10" s="18" t="str">
        <x:v>Operational verification claim is not evidence-based</x:v>
      </x:c>
      <x:c r="F10" s="18" t="str">
        <x:v>FIXED_IN_CODE</x:v>
      </x:c>
      <x:c r="G10" s="18" t="str">
        <x:v>2026-10-19</x:v>
      </x:c>
      <x:c r="H10" s="18" t="str">
        <x:v>2026-10-19</x:v>
      </x:c>
      <x:c r="I10" s="18" t="str">
        <x:v>9dacfcb</x:v>
      </x:c>
      <x:c r="J10" s="18" t="str">
        <x:v>6203687</x:v>
      </x:c>
      <x:c r="K10" s="18" t="str"/>
      <x:c r="L10" s="18" t="str">
        <x:v>/api/v1/platform/capabilities maps EMAIL_MODE === 'live' to PRODUCTION_VERIFIED; it likewise maps PAYMENTS_MODE === 'stripe_live' to PRODUCTION_VERIFIED. The internal reconciliation explicitly says live SMTP deliverability and real Stripe test-mode payment/3DS flows are not yet verified.</x:v>
      </x:c>
      <x:c r="M10" s="18" t="str">
        <x:v>staff/customers may mistake a configuration switch for verified delivery/payments.</x:v>
      </x:c>
      <x:c r="N10" s="18" t="str">
        <x:v>separate mode, configured, connected, tested and independently verified gates. Derive verificationTier from an explicit audited verification record, not a flag name.</x:v>
      </x:c>
      <x:c r="O10" s="18" t="str"/>
      <x:c r="P10" s="18" t="str">
        <x:v>FORTLESS_AUDIT_2026-10-19.md</x:v>
      </x:c>
      <x:c r="Q10" s="18" t="str">
        <x:v>https://github.com/trencito42/fortless/blob/9dacfcb70de10496e1740151f39090ad5a046f4a/README.md</x:v>
      </x:c>
      <x:c r="R10" s="18" t="str">
        <x:v>Coding AI</x:v>
      </x:c>
      <x:c r="S10" s="18" t="str">
        <x:v>Production verification no longer inferred only from email/live mode, but tier needs operational evidence</x:v>
      </x:c>
    </x:row>
    <x:row r="11" ht="66" customHeight="1">
      <x:c r="A11" s="18" t="str">
        <x:v>SEC-08</x:v>
      </x:c>
      <x:c r="B11" s="18" t="str">
        <x:v>P1</x:v>
      </x:c>
      <x:c r="C11" s="18" t="str">
        <x:v>MEDIUM</x:v>
      </x:c>
      <x:c r="D11" s="18" t="str">
        <x:v>Security</x:v>
      </x:c>
      <x:c r="E11" s="18" t="str">
        <x:v>Outbound URL guard does not pin destination or prevent redirects</x:v>
      </x:c>
      <x:c r="F11" s="18" t="str">
        <x:v>PARTIAL</x:v>
      </x:c>
      <x:c r="G11" s="18" t="str">
        <x:v>2026-10-19</x:v>
      </x:c>
      <x:c r="H11" s="18" t="str">
        <x:v>2026-10-19</x:v>
      </x:c>
      <x:c r="I11" s="18" t="str">
        <x:v>9dacfcb</x:v>
      </x:c>
      <x:c r="J11" s="18" t="str">
        <x:v>6203687</x:v>
      </x:c>
      <x:c r="K11" s="18" t="str">
        <x:v>src/utils/ssrf.ts, src/modules/provisioning/adapter.ts</x:v>
      </x:c>
      <x:c r="L11" s="18" t="str">
        <x:v>src/utils/ssrf.ts validates a DNS lookup before the request; src/modules/provisioning/adapter.ts then calls standard fetch(url) with default redirect-following behavior. Several provider URLs are configuration-controlled, which reduces exploitability from customer input.</x:v>
      </x:c>
      <x:c r="M11" s="18" t="str">
        <x:v>DNS rebinding between validation and connection or redirects to an unvalidated destination can undermine the guard if a hostile endpoint is ever supplied through configuration or a higher-privilege input path.</x:v>
      </x:c>
      <x:c r="N11" s="18" t="str">
        <x:v>enforce HTTPS/provider host allowlists, deny redirects for API-key-bearing outbound calls, revalidate every destination and pin trusted IP resolution as appropriate. Inspect additional reserved IPv4/IPv6 ranges.</x:v>
      </x:c>
      <x:c r="O11" s="18" t="str"/>
      <x:c r="P11" s="18" t="str">
        <x:v>FORTLESS_AUDIT_2026-10-19.md</x:v>
      </x:c>
      <x:c r="Q11" s="18" t="str">
        <x:v>https://github.com/trencito42/fortless/blob/9dacfcb70de10496e1740151f39090ad5a046f4a/src/utils/ssrf.ts</x:v>
      </x:c>
      <x:c r="R11" s="18" t="str">
        <x:v>Coding AI</x:v>
      </x:c>
      <x:c r="S11" s="18" t="str">
        <x:v>Redirect forbidden for Pterodactyl and WHM; DNS rebinding still needs review</x:v>
      </x:c>
    </x:row>
    <x:row r="12" ht="66" customHeight="1">
      <x:c r="A12" s="18" t="str">
        <x:v>SEC-09</x:v>
      </x:c>
      <x:c r="B12" s="18" t="str">
        <x:v>P1</x:v>
      </x:c>
      <x:c r="C12" s="18" t="str">
        <x:v>MEDIUM</x:v>
      </x:c>
      <x:c r="D12" s="18" t="str">
        <x:v>Security</x:v>
      </x:c>
      <x:c r="E12" s="18" t="str">
        <x:v>Missing per-feature security test coverage in newest push</x:v>
      </x:c>
      <x:c r="F12" s="18" t="str">
        <x:v>NEEDS_VERIFICATION</x:v>
      </x:c>
      <x:c r="G12" s="18" t="str">
        <x:v>2026-10-19</x:v>
      </x:c>
      <x:c r="H12" s="18" t="str">
        <x:v>2026-10-19</x:v>
      </x:c>
      <x:c r="I12" s="18" t="str">
        <x:v>9dacfcb</x:v>
      </x:c>
      <x:c r="J12" s="18" t="str">
        <x:v>6203687</x:v>
      </x:c>
      <x:c r="K12" s="18" t="str"/>
      <x:c r="L12" s="18" t="str">
        <x:v>tests/platform.test.ts, tests/frontend.test.ts and tests/webauthn.test.ts do not contain explicit identical-User-Agent device tests, repeated pending-MFA login tests, strict SMTP TLS certificate validation tests or intentional live-vs-sandbox delivery gate tests.</x:v>
      </x:c>
      <x:c r="M12" s="18" t="str"/>
      <x:c r="N12" s="18" t="str">
        <x:v>add tests for these scenarios and make them CI blockers. The historical 212-pass claim is not equivalent to these tests having passed.</x:v>
      </x:c>
      <x:c r="O12" s="18" t="str"/>
      <x:c r="P12" s="18" t="str">
        <x:v>FORTLESS_AUDIT_2026-10-19.md</x:v>
      </x:c>
      <x:c r="Q12" s="18" t="str">
        <x:v>https://github.com/trencito42/fortless/blob/9dacfcb70de10496e1740151f39090ad5a046f4a/README.md</x:v>
      </x:c>
      <x:c r="R12" s="18" t="str">
        <x:v>Coding AI</x:v>
      </x:c>
      <x:c r="S12" s="18" t="str">
        <x:v>Security regression matrix not independently executed</x:v>
      </x:c>
    </x:row>
    <x:row r="13" ht="66" customHeight="1">
      <x:c r="A13" s="18" t="str">
        <x:v>SEC-10</x:v>
      </x:c>
      <x:c r="B13" s="18" t="str">
        <x:v>P1</x:v>
      </x:c>
      <x:c r="C13" s="18" t="str">
        <x:v>REVIEW</x:v>
      </x:c>
      <x:c r="D13" s="18" t="str">
        <x:v>Security</x:v>
      </x:c>
      <x:c r="E13" s="18" t="str">
        <x:v>HTTP security headers need deployed-edge verification</x:v>
      </x:c>
      <x:c r="F13" s="18" t="str">
        <x:v>NEEDS_VERIFICATION</x:v>
      </x:c>
      <x:c r="G13" s="18" t="str">
        <x:v>2026-10-19</x:v>
      </x:c>
      <x:c r="H13" s="18" t="str">
        <x:v>2026-10-19</x:v>
      </x:c>
      <x:c r="I13" s="18" t="str">
        <x:v>9dacfcb</x:v>
      </x:c>
      <x:c r="J13" s="18" t="str">
        <x:v>6203687</x:v>
      </x:c>
      <x:c r="K13" s="18" t="str">
        <x:v>src/server.ts</x:v>
      </x:c>
      <x:c r="L13" s="18" t="str">
        <x:v>no explicit CSP/HSTS/X-Frame-Options/header middleware was identified in reviewed src/server.ts; edge Nginx or CDN configuration was not available in this review. There are inline scripts in public/app.html.</x:v>
      </x:c>
      <x:c r="M13" s="18" t="str"/>
      <x:c r="N13" s="18" t="str"/>
      <x:c r="O13" s="18" t="str"/>
      <x:c r="P13" s="18" t="str">
        <x:v>FORTLESS_AUDIT_2026-10-19.md</x:v>
      </x:c>
      <x:c r="Q13" s="18" t="str">
        <x:v>https://github.com/trencito42/fortless/blob/9dacfcb70de10496e1740151f39090ad5a046f4a/src/server.ts</x:v>
      </x:c>
      <x:c r="R13" s="18" t="str">
        <x:v>Coding AI</x:v>
      </x:c>
      <x:c r="S13" s="18" t="str">
        <x:v>Deployed Nginx/edge security headers not checked</x:v>
      </x:c>
    </x:row>
    <x:row r="14" ht="66" customHeight="1">
      <x:c r="A14" s="18" t="str">
        <x:v>UI-01</x:v>
      </x:c>
      <x:c r="B14" s="18" t="str">
        <x:v>P1</x:v>
      </x:c>
      <x:c r="C14" s="18" t="str">
        <x:v>HIGH</x:v>
      </x:c>
      <x:c r="D14" s="18" t="str">
        <x:v>UI / UX</x:v>
      </x:c>
      <x:c r="E14" s="18" t="str">
        <x:v>Visual QA tool targets obsolete routes and is not a pixel comparison</x:v>
      </x:c>
      <x:c r="F14" s="18" t="str">
        <x:v>PARTIAL</x:v>
      </x:c>
      <x:c r="G14" s="18" t="str">
        <x:v>2026-10-19</x:v>
      </x:c>
      <x:c r="H14" s="18" t="str">
        <x:v>2026-10-19</x:v>
      </x:c>
      <x:c r="I14" s="18" t="str">
        <x:v>9dacfcb</x:v>
      </x:c>
      <x:c r="J14" s="18" t="str">
        <x:v>6203687</x:v>
      </x:c>
      <x:c r="K14" s="18" t="str">
        <x:v>scripts/verify-views.py</x:v>
      </x:c>
      <x:c r="L14" s="18" t="str"/>
      <x:c r="M14" s="18" t="str"/>
      <x:c r="N14" s="18" t="str"/>
      <x:c r="O14" s="18" t="str"/>
      <x:c r="P14" s="18" t="str">
        <x:v>FORTLESS_AUDIT_2026-10-19.md</x:v>
      </x:c>
      <x:c r="Q14" s="18" t="str">
        <x:v>https://github.com/trencito42/fortless/blob/9dacfcb70de10496e1740151f39090ad5a046f4a/scripts/verify-views.py</x:v>
      </x:c>
      <x:c r="R14" s="18" t="str">
        <x:v>Coding AI</x:v>
      </x:c>
      <x:c r="S14" s="18" t="str">
        <x:v>QA routes updated to live paths; reference screenshot pixel comparison still missing</x:v>
      </x:c>
    </x:row>
    <x:row r="15" ht="66" customHeight="1">
      <x:c r="A15" s="18" t="str">
        <x:v>UI-02</x:v>
      </x:c>
      <x:c r="B15" s="18" t="str">
        <x:v>P1</x:v>
      </x:c>
      <x:c r="C15" s="18" t="str">
        <x:v>HIGH</x:v>
      </x:c>
      <x:c r="D15" s="18" t="str">
        <x:v>UI / UX</x:v>
      </x:c>
      <x:c r="E15" s="18" t="str">
        <x:v>Live-usage pane has divergent and cramped compositions</x:v>
      </x:c>
      <x:c r="F15" s="18" t="str">
        <x:v>OPEN</x:v>
      </x:c>
      <x:c r="G15" s="18" t="str">
        <x:v>2026-10-19</x:v>
      </x:c>
      <x:c r="H15" s="18" t="str">
        <x:v>2026-10-19</x:v>
      </x:c>
      <x:c r="I15" s="18" t="str">
        <x:v>9dacfcb</x:v>
      </x:c>
      <x:c r="J15" s="18" t="str">
        <x:v>6203687</x:v>
      </x:c>
      <x:c r="K15" s="18" t="str">
        <x:v>src/frontend/client/pages/services/index.ts, src/frontend/client/pages/services/live-usage.ts</x:v>
      </x:c>
      <x:c r="L15" s="18" t="str"/>
      <x:c r="M15" s="18" t="str"/>
      <x:c r="N15" s="18" t="str"/>
      <x:c r="O15" s="18" t="str"/>
      <x:c r="P15" s="18" t="str">
        <x:v>FORTLESS_AUDIT_2026-10-19.md</x:v>
      </x:c>
      <x:c r="Q15" s="18" t="str">
        <x:v>https://github.com/trencito42/fortless/blob/9dacfcb70de10496e1740151f39090ad5a046f4a/src/frontend/client/pages/services/index.ts</x:v>
      </x:c>
      <x:c r="R15" s="18" t="str">
        <x:v>Coding AI</x:v>
      </x:c>
      <x:c r="S15" s="18" t="str">
        <x:v>Live usage layout differs across socket and fallback and needs canonical comparison</x:v>
      </x:c>
    </x:row>
    <x:row r="16" ht="66" customHeight="1">
      <x:c r="A16" s="18" t="str">
        <x:v>UI-03</x:v>
      </x:c>
      <x:c r="B16" s="18" t="str">
        <x:v>P1</x:v>
      </x:c>
      <x:c r="C16" s="18" t="str">
        <x:v>HIGH</x:v>
      </x:c>
      <x:c r="D16" s="18" t="str">
        <x:v>UI / UX</x:v>
      </x:c>
      <x:c r="E16" s="18" t="str">
        <x:v>Static DONE does not mean checked equivalent</x:v>
      </x:c>
      <x:c r="F16" s="18" t="str">
        <x:v>NEEDS_VERIFICATION</x:v>
      </x:c>
      <x:c r="G16" s="18" t="str">
        <x:v>2026-10-19</x:v>
      </x:c>
      <x:c r="H16" s="18" t="str">
        <x:v>2026-10-19</x:v>
      </x:c>
      <x:c r="I16" s="18" t="str">
        <x:v>9dacfcb</x:v>
      </x:c>
      <x:c r="J16" s="18" t="str">
        <x:v>6203687</x:v>
      </x:c>
      <x:c r="K16" s="18" t="str"/>
      <x:c r="L16" s="18" t="str"/>
      <x:c r="M16" s="18" t="str"/>
      <x:c r="N16" s="18" t="str"/>
      <x:c r="O16" s="18" t="str"/>
      <x:c r="P16" s="18" t="str">
        <x:v>FORTLESS_AUDIT_2026-10-19.md</x:v>
      </x:c>
      <x:c r="Q16" s="18" t="str">
        <x:v>https://github.com/trencito42/fortless/blob/9dacfcb70de10496e1740151f39090ad5a046f4a/README.md</x:v>
      </x:c>
      <x:c r="R16" s="18" t="str">
        <x:v>Coding AI</x:v>
      </x:c>
      <x:c r="S16" s="18" t="str">
        <x:v>Migration DONE flags do not replace visual comparisons</x:v>
      </x:c>
    </x:row>
    <x:row r="17" ht="66" customHeight="1">
      <x:c r="A17" s="18" t="str">
        <x:v>UI-04</x:v>
      </x:c>
      <x:c r="B17" s="18" t="str">
        <x:v>P1</x:v>
      </x:c>
      <x:c r="C17" s="18" t="str">
        <x:v>MEDIUM</x:v>
      </x:c>
      <x:c r="D17" s="18" t="str">
        <x:v>UI / UX</x:v>
      </x:c>
      <x:c r="E17" s="18" t="str">
        <x:v>Canonical views have extra feature/interaction variants without approved visual baseline</x:v>
      </x:c>
      <x:c r="F17" s="18" t="str">
        <x:v>NEEDS_VERIFICATION</x:v>
      </x:c>
      <x:c r="G17" s="18" t="str">
        <x:v>2026-10-19</x:v>
      </x:c>
      <x:c r="H17" s="18" t="str">
        <x:v>2026-10-19</x:v>
      </x:c>
      <x:c r="I17" s="18" t="str">
        <x:v>9dacfcb</x:v>
      </x:c>
      <x:c r="J17" s="18" t="str">
        <x:v>6203687</x:v>
      </x:c>
      <x:c r="K17" s="18" t="str"/>
      <x:c r="L17" s="18" t="str"/>
      <x:c r="M17" s="18" t="str"/>
      <x:c r="N17" s="18" t="str"/>
      <x:c r="O17" s="18" t="str"/>
      <x:c r="P17" s="18" t="str">
        <x:v>FORTLESS_AUDIT_2026-10-19.md</x:v>
      </x:c>
      <x:c r="Q17" s="18" t="str">
        <x:v>https://github.com/trencito42/fortless/blob/9dacfcb70de10496e1740151f39090ad5a046f4a/README.md</x:v>
      </x:c>
      <x:c r="R17" s="18" t="str">
        <x:v>Coding AI</x:v>
      </x:c>
      <x:c r="S17" s="18" t="str">
        <x:v>Added interface extensions need approved baseline</x:v>
      </x:c>
    </x:row>
    <x:row r="18" ht="66" customHeight="1">
      <x:c r="A18" s="18" t="str">
        <x:v>UI-05</x:v>
      </x:c>
      <x:c r="B18" s="18" t="str">
        <x:v>P1</x:v>
      </x:c>
      <x:c r="C18" s="18" t="str">
        <x:v>MEDIUM</x:v>
      </x:c>
      <x:c r="D18" s="18" t="str">
        <x:v>UI / UX</x:v>
      </x:c>
      <x:c r="E18" s="18" t="str">
        <x:v>Route-local inline composition is widespread</x:v>
      </x:c>
      <x:c r="F18" s="18" t="str">
        <x:v>OPEN</x:v>
      </x:c>
      <x:c r="G18" s="18" t="str">
        <x:v>2026-10-19</x:v>
      </x:c>
      <x:c r="H18" s="18" t="str">
        <x:v>2026-10-19</x:v>
      </x:c>
      <x:c r="I18" s="18" t="str">
        <x:v>9dacfcb</x:v>
      </x:c>
      <x:c r="J18" s="18" t="str">
        <x:v>6203687</x:v>
      </x:c>
      <x:c r="K18" s="18" t="str"/>
      <x:c r="L18" s="18" t="str"/>
      <x:c r="M18" s="18" t="str"/>
      <x:c r="N18" s="18" t="str"/>
      <x:c r="O18" s="18" t="str"/>
      <x:c r="P18" s="18" t="str">
        <x:v>FORTLESS_AUDIT_2026-10-19.md</x:v>
      </x:c>
      <x:c r="Q18" s="18" t="str">
        <x:v>https://github.com/trencito42/fortless/blob/9dacfcb70de10496e1740151f39090ad5a046f4a/README.md</x:v>
      </x:c>
      <x:c r="R18" s="18" t="str">
        <x:v>Coding AI</x:v>
      </x:c>
      <x:c r="S18" s="18" t="str">
        <x:v>Inline route-level styles risk divergent Petal composition</x:v>
      </x:c>
    </x:row>
    <x:row r="19" ht="66" customHeight="1">
      <x:c r="A19" s="18" t="str">
        <x:v>UI-06</x:v>
      </x:c>
      <x:c r="B19" s="18" t="str">
        <x:v>P1</x:v>
      </x:c>
      <x:c r="C19" s="18" t="str">
        <x:v>MEDIUM</x:v>
      </x:c>
      <x:c r="D19" s="18" t="str">
        <x:v>UI / UX</x:v>
      </x:c>
      <x:c r="E19" s="18" t="str">
        <x:v>Activity filter markup has questionable accessibility semantics</x:v>
      </x:c>
      <x:c r="F19" s="18" t="str">
        <x:v>OPEN</x:v>
      </x:c>
      <x:c r="G19" s="18" t="str">
        <x:v>2026-10-19</x:v>
      </x:c>
      <x:c r="H19" s="18" t="str">
        <x:v>2026-10-19</x:v>
      </x:c>
      <x:c r="I19" s="18" t="str">
        <x:v>9dacfcb</x:v>
      </x:c>
      <x:c r="J19" s="18" t="str">
        <x:v>6203687</x:v>
      </x:c>
      <x:c r="K19" s="18" t="str"/>
      <x:c r="L19" s="18" t="str"/>
      <x:c r="M19" s="18" t="str"/>
      <x:c r="N19" s="18" t="str"/>
      <x:c r="O19" s="18" t="str"/>
      <x:c r="P19" s="18" t="str">
        <x:v>FORTLESS_AUDIT_2026-10-19.md</x:v>
      </x:c>
      <x:c r="Q19" s="18" t="str">
        <x:v>https://github.com/trencito42/fortless/blob/9dacfcb70de10496e1740151f39090ad5a046f4a/README.md</x:v>
      </x:c>
      <x:c r="R19" s="18" t="str">
        <x:v>Coding AI</x:v>
      </x:c>
      <x:c r="S19" s="18" t="str">
        <x:v>Audit tab segmented control semantics need accessibility fix</x:v>
      </x:c>
    </x:row>
    <x:row r="20" ht="66" customHeight="1">
      <x:c r="A20" s="18" t="str">
        <x:v>UI-07</x:v>
      </x:c>
      <x:c r="B20" s="18" t="str">
        <x:v>P1</x:v>
      </x:c>
      <x:c r="C20" s="18" t="str">
        <x:v>MEDIUM</x:v>
      </x:c>
      <x:c r="D20" s="18" t="str">
        <x:v>UI / UX</x:v>
      </x:c>
      <x:c r="E20" s="18" t="str">
        <x:v>UI loading/error/empty and interaction matrix unverified</x:v>
      </x:c>
      <x:c r="F20" s="18" t="str">
        <x:v>NEEDS_VERIFICATION</x:v>
      </x:c>
      <x:c r="G20" s="18" t="str">
        <x:v>2026-10-19</x:v>
      </x:c>
      <x:c r="H20" s="18" t="str">
        <x:v>2026-10-19</x:v>
      </x:c>
      <x:c r="I20" s="18" t="str">
        <x:v>9dacfcb</x:v>
      </x:c>
      <x:c r="J20" s="18" t="str">
        <x:v>6203687</x:v>
      </x:c>
      <x:c r="K20" s="18" t="str"/>
      <x:c r="L20" s="18" t="str"/>
      <x:c r="M20" s="18" t="str"/>
      <x:c r="N20" s="18" t="str"/>
      <x:c r="O20" s="18" t="str"/>
      <x:c r="P20" s="18" t="str">
        <x:v>FORTLESS_AUDIT_2026-10-19.md</x:v>
      </x:c>
      <x:c r="Q20" s="18" t="str">
        <x:v>https://github.com/trencito42/fortless/blob/9dacfcb70de10496e1740151f39090ad5a046f4a/README.md</x:v>
      </x:c>
      <x:c r="R20" s="18" t="str">
        <x:v>Coding AI</x:v>
      </x:c>
      <x:c r="S20" s="18" t="str">
        <x:v>State matrix not fully browser tested</x:v>
      </x:c>
    </x:row>
    <x:row r="21" ht="66" customHeight="1">
      <x:c r="A21" s="18" t="str">
        <x:v>FTL-SEC-201</x:v>
      </x:c>
      <x:c r="B21" s="18" t="str">
        <x:v>P0</x:v>
      </x:c>
      <x:c r="C21" s="18" t="str">
        <x:v>HIGH</x:v>
      </x:c>
      <x:c r="D21" s="18" t="str">
        <x:v>Security</x:v>
      </x:c>
      <x:c r="E21" s="18" t="str">
        <x:v>Existing TOTP can be silently replaced with an unconfirmed factor</x:v>
      </x:c>
      <x:c r="F21" s="18" t="str">
        <x:v>OPEN</x:v>
      </x:c>
      <x:c r="G21" s="18" t="str">
        <x:v>2026-10-19</x:v>
      </x:c>
      <x:c r="H21" s="18" t="str">
        <x:v>2026-10-19</x:v>
      </x:c>
      <x:c r="I21" s="18" t="str">
        <x:v>6203687</x:v>
      </x:c>
      <x:c r="J21" s="18" t="str">
        <x:v>6203687</x:v>
      </x:c>
      <x:c r="K21" s="18" t="str">
        <x:v>src/modules/identity/auth.ts, src/server.ts</x:v>
      </x:c>
      <x:c r="L21" s="18" t="str">
        <x:v>route needs requireAuth plus password, but no current-factor proof or recent step-up. beginTotpEnrollment() upserts the one TOTP factor with is_confirmed = 0 on conflict, replacing a confirmed secret. confirmedMfa() looks only for is_confirmed = 1.</x:v>
      </x:c>
      <x:c r="M21" s="18" t="str">
        <x:v>an already authenticated account whose password is also known can drop its confirmed MFA enforcement by starting a new enrollment without validating the current TOTP. This includes inadvertent downgrades if a user starts, then abandons setup.</x:v>
      </x:c>
      <x:c r="N21" s="18" t="str">
        <x:v>reject normal enrollment if confirmed MFA exists; implement explicit factor replacement requiring fresh step-up + current MFA/recovery verification; persist an unconfirmed replacement separately, keep current factor active until atomic confirmation; revoke/rotate sessions as appropriate.</x:v>
      </x:c>
      <x:c r="O21" s="18" t="str">
        <x:v>enabling/replacing/abandoning MFA never removes previously enforced MFA; test existing authenticated session, multiple devices and recovery flow.</x:v>
      </x:c>
      <x:c r="P21" s="18" t="str">
        <x:v>FORTLESS_AUDIT_PUSH_6203687_2026-10-19.md</x:v>
      </x:c>
      <x:c r="Q21" s="18" t="str">
        <x:v>https://github.com/trencito42/fortless/blob/620368742f1df3fd36778dc1e4e567e404cb021b/src/modules/identity/auth.ts</x:v>
      </x:c>
      <x:c r="R21" s="18" t="str">
        <x:v>Coding AI</x:v>
      </x:c>
      <x:c r="S21" s="18" t="str"/>
    </x:row>
    <x:row r="22" ht="66" customHeight="1">
      <x:c r="A22" s="18" t="str">
        <x:v>FTL-SEC-202</x:v>
      </x:c>
      <x:c r="B22" s="18" t="str">
        <x:v>P0</x:v>
      </x:c>
      <x:c r="C22" s="18" t="str">
        <x:v>HIGH</x:v>
      </x:c>
      <x:c r="D22" s="18" t="str">
        <x:v>Security</x:v>
      </x:c>
      <x:c r="E22" s="18" t="str">
        <x:v>Global MFA attempt limit resets on same-device relogin</x:v>
      </x:c>
      <x:c r="F22" s="18" t="str">
        <x:v>OPEN</x:v>
      </x:c>
      <x:c r="G22" s="18" t="str">
        <x:v>2026-10-19</x:v>
      </x:c>
      <x:c r="H22" s="18" t="str">
        <x:v>2026-10-19</x:v>
      </x:c>
      <x:c r="I22" s="18" t="str">
        <x:v>6203687</x:v>
      </x:c>
      <x:c r="J22" s="18" t="str">
        <x:v>6203687</x:v>
      </x:c>
      <x:c r="K22" s="18" t="str">
        <x:v>src/modules/identity/auth.ts</x:v>
      </x:c>
      <x:c r="L22" s="18" t="str">
        <x:v>new password sign-in removes the previous unverified sessions row for the same device_id. mfa_attempts stores session_id, while the account-wide failure count uses JOIN sessions ON s.id = ma.session_id. When the pending session is deleted, its historic failures disappear from the account query.</x:v>
      </x:c>
      <x:c r="M22" s="18" t="str">
        <x:v>with a valid password, repeated logins can give additional batches of TOTP guesses despite the purported per-user cap.</x:v>
      </x:c>
      <x:c r="N22" s="18" t="str">
        <x:v>log MFA failures with durable user_id/identifier independent of session lifecycle, use an account-wide rolling limit that is not reset by deleting sessions, apply IP/device controls as secondary signals.</x:v>
      </x:c>
      <x:c r="O22" s="18" t="str">
        <x:v>5 failed challenges followed by another valid-password sign-in on the same device must remain blocked until the prescribed window passes.</x:v>
      </x:c>
      <x:c r="P22" s="18" t="str">
        <x:v>FORTLESS_AUDIT_PUSH_6203687_2026-10-19.md</x:v>
      </x:c>
      <x:c r="Q22" s="18" t="str">
        <x:v>https://github.com/trencito42/fortless/blob/620368742f1df3fd36778dc1e4e567e404cb021b/src/modules/identity/auth.ts</x:v>
      </x:c>
      <x:c r="R22" s="18" t="str">
        <x:v>Coding AI</x:v>
      </x:c>
      <x:c r="S22" s="18" t="str"/>
    </x:row>
    <x:row r="23" ht="66" customHeight="1">
      <x:c r="A23" s="18" t="str">
        <x:v>FTL-SEC-203</x:v>
      </x:c>
      <x:c r="B23" s="18" t="str">
        <x:v>P0</x:v>
      </x:c>
      <x:c r="C23" s="18" t="str">
        <x:v>HIGH</x:v>
      </x:c>
      <x:c r="D23" s="18" t="str">
        <x:v>Security</x:v>
      </x:c>
      <x:c r="E23" s="18" t="str">
        <x:v>Recovery-code regeneration lacks sensitive-action reauthentication</x:v>
      </x:c>
      <x:c r="F23" s="18" t="str">
        <x:v>OPEN</x:v>
      </x:c>
      <x:c r="G23" s="18" t="str">
        <x:v>2026-10-19</x:v>
      </x:c>
      <x:c r="H23" s="18" t="str">
        <x:v>2026-10-19</x:v>
      </x:c>
      <x:c r="I23" s="18" t="str">
        <x:v>6203687</x:v>
      </x:c>
      <x:c r="J23" s="18" t="str">
        <x:v>6203687</x:v>
      </x:c>
      <x:c r="K23" s="18" t="str">
        <x:v>src/server.ts, src/modules/identity/auth.ts</x:v>
      </x:c>
      <x:c r="L23" s="18" t="str">
        <x:v>only requireAuth, no requireRecentStepUp, password or current TOTP check; module deletes existing recovery codes and returns fresh codes to any bearer of the logged-in session.</x:v>
      </x:c>
      <x:c r="M23" s="18" t="str">
        <x:v>stolen or unattended browser sessions can reset MFA recovery material; this amplifies account takeover risk when other credentials are compromised and invalidates legitimate recovery codes.</x:v>
      </x:c>
      <x:c r="N23" s="18" t="str">
        <x:v>mandatory recent reauthentication with active MFA, explicit confirmation and security alert; log event and consider device/session revocation.</x:v>
      </x:c>
      <x:c r="O23" s="18" t="str">
        <x:v>a normal logged-in session without a recent completed security challenge gets 403; valid step-up can regenerate; consumed/old codes cannot be used.</x:v>
      </x:c>
      <x:c r="P23" s="18" t="str">
        <x:v>FORTLESS_AUDIT_PUSH_6203687_2026-10-19.md</x:v>
      </x:c>
      <x:c r="Q23" s="18" t="str">
        <x:v>https://github.com/trencito42/fortless/blob/620368742f1df3fd36778dc1e4e567e404cb021b/src/server.ts</x:v>
      </x:c>
      <x:c r="R23" s="18" t="str">
        <x:v>Coding AI</x:v>
      </x:c>
      <x:c r="S23" s="18" t="str"/>
    </x:row>
    <x:row r="24" ht="66" customHeight="1">
      <x:c r="A24" s="18" t="str">
        <x:v>FTL-BILL-201</x:v>
      </x:c>
      <x:c r="B24" s="18" t="str">
        <x:v>P0</x:v>
      </x:c>
      <x:c r="C24" s="18" t="str">
        <x:v>CRITICAL</x:v>
      </x:c>
      <x:c r="D24" s="18" t="str">
        <x:v>Billing</x:v>
      </x:c>
      <x:c r="E24" s="18" t="str">
        <x:v>Monthly Stripe plan for nonmonthly quote intervals</x:v>
      </x:c>
      <x:c r="F24" s="18" t="str">
        <x:v>OPEN</x:v>
      </x:c>
      <x:c r="G24" s="18" t="str">
        <x:v>2026-10-19</x:v>
      </x:c>
      <x:c r="H24" s="18" t="str">
        <x:v>2026-10-19</x:v>
      </x:c>
      <x:c r="I24" s="18" t="str">
        <x:v>6203687</x:v>
      </x:c>
      <x:c r="J24" s="18" t="str">
        <x:v>6203687</x:v>
      </x:c>
      <x:c r="K24" s="18" t="str">
        <x:v>src/modules/pricing/quote.ts, src/modules/checkout/checkout.ts</x:v>
      </x:c>
      <x:c r="L24" s="18" t="str">
        <x:v>plan prices/quote accept MONTHLY, QUARTERLY, SEMI_ANNUAL, ANNUAL in catalog/schema, but Stripe checkout.sessions.create always sets mode: 'subscription', recurring: {interval:'month'}, quantity:1, unit_amount = total order amount.</x:v>
      </x:c>
      <x:c r="M24" s="18" t="str">
        <x:v>quarterly/annual contracts can be billed monthly at the entire quoted price; mixed-plan orders are collapsed into one incompatible recurring item.</x:v>
      </x:c>
      <x:c r="N24" s="18" t="str">
        <x:v>use a single server-authoritative invoice/subscription model with correct line intervals; reject unsupported mixed periods, or split orders into compatible contracts. Validate setup fees, tax and coupons separately.</x:v>
      </x:c>
      <x:c r="O24" s="18" t="str">
        <x:v>time-shifted tests for monthly, quarterly and annual, different quantities/plans and subscriptions match exact billing periods and amounts.</x:v>
      </x:c>
      <x:c r="P24" s="18" t="str">
        <x:v>FORTLESS_AUDIT_PUSH_6203687_2026-10-19.md</x:v>
      </x:c>
      <x:c r="Q24" s="18" t="str">
        <x:v>https://github.com/trencito42/fortless/blob/620368742f1df3fd36778dc1e4e567e404cb021b/src/modules/pricing/quote.ts</x:v>
      </x:c>
      <x:c r="R24" s="18" t="str">
        <x:v>Coding AI</x:v>
      </x:c>
      <x:c r="S24" s="18" t="str"/>
    </x:row>
    <x:row r="25" ht="66" customHeight="1">
      <x:c r="A25" s="18" t="str">
        <x:v>FTL-BILL-202</x:v>
      </x:c>
      <x:c r="B25" s="18" t="str">
        <x:v>P0</x:v>
      </x:c>
      <x:c r="C25" s="18" t="str">
        <x:v>CRITICAL</x:v>
      </x:c>
      <x:c r="D25" s="18" t="str">
        <x:v>Billing</x:v>
      </x:c>
      <x:c r="E25" s="18" t="str">
        <x:v>Refund/chargeback changes local service state without provider action</x:v>
      </x:c>
      <x:c r="F25" s="18" t="str">
        <x:v>OPEN</x:v>
      </x:c>
      <x:c r="G25" s="18" t="str">
        <x:v>2026-10-19</x:v>
      </x:c>
      <x:c r="H25" s="18" t="str">
        <x:v>2026-10-19</x:v>
      </x:c>
      <x:c r="I25" s="18" t="str">
        <x:v>6203687</x:v>
      </x:c>
      <x:c r="J25" s="18" t="str">
        <x:v>6203687</x:v>
      </x:c>
      <x:c r="K25" s="18" t="str">
        <x:v>src/modules/payments/webhooks.ts</x:v>
      </x:c>
      <x:c r="L25" s="18" t="str">
        <x:v>full charge.refunded updates services.contract_status='TERMINATED' with SQL; charge.dispute.created updates contract_status='SUSPENDED', without terminateService / suspendService or a provider operation enqueued in the outbox.</x:v>
      </x:c>
      <x:c r="M25" s="18" t="str">
        <x:v>server may continue running and consuming money while Fortless shows it terminated/suspended; refund can leave paid infrastructure and databases behind; dispute may not block Pterodactyl access.</x:v>
      </x:c>
      <x:c r="N25" s="18" t="str">
        <x:v>durable idempotent provider lifecycle outbox jobs, explicit transition states and reconciliation, customer notifications, manual review if the provider fails. Do not mark destruction complete until it is confirmed.</x:v>
      </x:c>
      <x:c r="O25" s="18" t="str">
        <x:v>mock and real disposable-provider tests verify actual remote suspend/terminate and failures are visible/retryable.</x:v>
      </x:c>
      <x:c r="P25" s="18" t="str">
        <x:v>FORTLESS_AUDIT_PUSH_6203687_2026-10-19.md</x:v>
      </x:c>
      <x:c r="Q25" s="18" t="str">
        <x:v>https://github.com/trencito42/fortless/blob/620368742f1df3fd36778dc1e4e567e404cb021b/src/modules/payments/webhooks.ts</x:v>
      </x:c>
      <x:c r="R25" s="18" t="str">
        <x:v>Coding AI</x:v>
      </x:c>
      <x:c r="S25" s="18" t="str"/>
    </x:row>
    <x:row r="26" ht="66" customHeight="1">
      <x:c r="A26" s="18" t="str">
        <x:v>FTL-BILL-203</x:v>
      </x:c>
      <x:c r="B26" s="18" t="str">
        <x:v>P0</x:v>
      </x:c>
      <x:c r="C26" s="18" t="str">
        <x:v>HIGH</x:v>
      </x:c>
      <x:c r="D26" s="18" t="str">
        <x:v>Billing</x:v>
      </x:c>
      <x:c r="E26" s="18" t="str">
        <x:v>Distinct Stripe events for same payment can re-run fulfillment</x:v>
      </x:c>
      <x:c r="F26" s="18" t="str">
        <x:v>OPEN</x:v>
      </x:c>
      <x:c r="G26" s="18" t="str">
        <x:v>2026-10-19</x:v>
      </x:c>
      <x:c r="H26" s="18" t="str">
        <x:v>2026-10-19</x:v>
      </x:c>
      <x:c r="I26" s="18" t="str">
        <x:v>6203687</x:v>
      </x:c>
      <x:c r="J26" s="18" t="str">
        <x:v>6203687</x:v>
      </x:c>
      <x:c r="K26" s="18" t="str">
        <x:v>src/modules/payments/webhooks.ts, src/database/schema.ts</x:v>
      </x:c>
      <x:c r="L26" s="18" t="str">
        <x:v>webhook dedup keyed exclusively on Stripe event_id; payment_intent.succeeded and checkout.session.completed may describe one payment with distinct event IDs; processing success has no guard against an already SUCCEEDED payment attempt or already fulfilled order item before INSERT into services.</x:v>
      </x:c>
      <x:c r="M26" s="18" t="str">
        <x:v>second event attempts to insert an already-linked service, triggers uniqueness constraint and 500/retries; correctness depends on a database uniqueness failure rather than an idempotent settlement path.</x:v>
      </x:c>
      <x:c r="N26" s="18" t="str">
        <x:v>make settlement idempotent per payment attempt/invoice/order, independently of event ID, with transactional status guard; a second event must acknowledge without creating services/emails again.</x:v>
      </x:c>
      <x:c r="O26" s="18" t="str">
        <x:v>two distinct success events, both delivery orders, duplicate event IDs, retries, out-of-order events: exactly one invoice settlement and one service per order item, HTTP 2xx.</x:v>
      </x:c>
      <x:c r="P26" s="18" t="str">
        <x:v>FORTLESS_AUDIT_PUSH_6203687_2026-10-19.md</x:v>
      </x:c>
      <x:c r="Q26" s="18" t="str">
        <x:v>https://github.com/trencito42/fortless/blob/620368742f1df3fd36778dc1e4e567e404cb021b/src/modules/payments/webhooks.ts</x:v>
      </x:c>
      <x:c r="R26" s="18" t="str">
        <x:v>Coding AI</x:v>
      </x:c>
      <x:c r="S26" s="18" t="str"/>
    </x:row>
    <x:row r="27" ht="66" customHeight="1">
      <x:c r="A27" s="18" t="str">
        <x:v>FTL-BILL-204</x:v>
      </x:c>
      <x:c r="B27" s="18" t="str">
        <x:v>P0</x:v>
      </x:c>
      <x:c r="C27" s="18" t="str">
        <x:v>HIGH</x:v>
      </x:c>
      <x:c r="D27" s="18" t="str">
        <x:v>Billing</x:v>
      </x:c>
      <x:c r="E27" s="18" t="str">
        <x:v>Stripe PaymentIntent/refund/dispute correlation does not use actual Stripe IDs</x:v>
      </x:c>
      <x:c r="F27" s="18" t="str">
        <x:v>OPEN</x:v>
      </x:c>
      <x:c r="G27" s="18" t="str">
        <x:v>2026-10-19</x:v>
      </x:c>
      <x:c r="H27" s="18" t="str">
        <x:v>2026-10-19</x:v>
      </x:c>
      <x:c r="I27" s="18" t="str">
        <x:v>6203687</x:v>
      </x:c>
      <x:c r="J27" s="18" t="str">
        <x:v>6203687</x:v>
      </x:c>
      <x:c r="K27" s="18" t="str">
        <x:v>src/modules/checkout/checkout.ts, src/modules/payments/webhooks.ts, src/database/schema.ts</x:v>
      </x:c>
      <x:c r="L27" s="18" t="str">
        <x:v>Checkout saves a cs_... session ID as psp_session_id; refund/dispute handlers search psp_session_id or the Fortless internal pa.id for payment_intent/charge identifiers. psp_payment_intent_id exists in schema but is not populated by this flow.</x:v>
      </x:c>
      <x:c r="M27" s="18" t="str">
        <x:v>real charge.refunded, charge.dispute.created, and some payment_intent.succeeded events can be held as anomalies instead of reaching the proper invoice/service. The tests replace real Stripe references with Fortless IDs, masking the mismatch.</x:v>
      </x:c>
      <x:c r="N27" s="18" t="str">
        <x:v>persist and reconcile Checkout Session, PaymentIntent, Charge, Invoice and Subscription IDs; map events by the correct stable identifiers, validate merchant/order/account metadata.</x:v>
      </x:c>
      <x:c r="O27" s="18" t="str">
        <x:v>Stripe-shaped cs_, pi_, ch_, in_, sub_ fixtures and test-mode real event chain settle correctly without artificial internal-ID substitutions.</x:v>
      </x:c>
      <x:c r="P27" s="18" t="str">
        <x:v>FORTLESS_AUDIT_PUSH_6203687_2026-10-19.md</x:v>
      </x:c>
      <x:c r="Q27" s="18" t="str">
        <x:v>https://github.com/trencito42/fortless/blob/620368742f1df3fd36778dc1e4e567e404cb021b/src/modules/checkout/checkout.ts</x:v>
      </x:c>
      <x:c r="R27" s="18" t="str">
        <x:v>Coding AI</x:v>
      </x:c>
      <x:c r="S27" s="18" t="str"/>
    </x:row>
    <x:row r="28" ht="66" customHeight="1">
      <x:c r="A28" s="18" t="str">
        <x:v>FTL-BILL-205</x:v>
      </x:c>
      <x:c r="B28" s="18" t="str">
        <x:v>P0</x:v>
      </x:c>
      <x:c r="C28" s="18" t="str">
        <x:v>HIGH</x:v>
      </x:c>
      <x:c r="D28" s="18" t="str">
        <x:v>Billing</x:v>
      </x:c>
      <x:c r="E28" s="18" t="str">
        <x:v>Subscription renewal flow not aligned with Stripe's auto-renewal</x:v>
      </x:c>
      <x:c r="F28" s="18" t="str">
        <x:v>OPEN</x:v>
      </x:c>
      <x:c r="G28" s="18" t="str">
        <x:v>2026-10-19</x:v>
      </x:c>
      <x:c r="H28" s="18" t="str">
        <x:v>2026-10-19</x:v>
      </x:c>
      <x:c r="I28" s="18" t="str">
        <x:v>6203687</x:v>
      </x:c>
      <x:c r="J28" s="18" t="str">
        <x:v>6203687</x:v>
      </x:c>
      <x:c r="K28" s="18" t="str">
        <x:v>src/modules/billing/renewal-dunning.ts, src/modules/payments/webhooks.ts</x:v>
      </x:c>
      <x:c r="L28" s="18" t="str">
        <x:v>Stripe Checkout creates auto-renewing subscription but the local scheduler moves due active subscriptions to PAST_DUE with comment that no off-session token is available; webhook ingestion ignores Stripe invoice.paid / invoice.payment_failed / customer.subscription.updated / customer.subscription.deleted.</x:v>
      </x:c>
      <x:c r="M28" s="18" t="str">
        <x:v>Fortless may suspend an account whose Stripe subscription was paid, or fail to react to failed/changed subscriptions; lifecycle drift.</x:v>
      </x:c>
      <x:c r="N28" s="18" t="str">
        <x:v>Stripe authoritative event reconciliation, idempotent invoice settlement, mapping of Stripe subscription to Fortless services, grace and cancellation policy unified with billing intervals.</x:v>
      </x:c>
      <x:c r="O28" s="18" t="str">
        <x:v>3DS, first invoice, successful renewal, failed renewal, retry, dunning, cancellation, paused/unpaid subscriptions and out-of-order events all map correctly.</x:v>
      </x:c>
      <x:c r="P28" s="18" t="str">
        <x:v>FORTLESS_AUDIT_PUSH_6203687_2026-10-19.md</x:v>
      </x:c>
      <x:c r="Q28" s="18" t="str">
        <x:v>https://github.com/trencito42/fortless/blob/620368742f1df3fd36778dc1e4e567e404cb021b/src/modules/billing/renewal-dunning.ts</x:v>
      </x:c>
      <x:c r="R28" s="18" t="str">
        <x:v>Coding AI</x:v>
      </x:c>
      <x:c r="S28" s="18" t="str"/>
    </x:row>
    <x:row r="29" ht="66" customHeight="1">
      <x:c r="A29" s="18" t="str">
        <x:v>FTL-BILL-206</x:v>
      </x:c>
      <x:c r="B29" s="18" t="str">
        <x:v>P0</x:v>
      </x:c>
      <x:c r="C29" s="18" t="str">
        <x:v>HIGH</x:v>
      </x:c>
      <x:c r="D29" s="18" t="str">
        <x:v>Billing</x:v>
      </x:c>
      <x:c r="E29" s="18" t="str">
        <x:v>Stripe session create not idempotent with DB failure recovery</x:v>
      </x:c>
      <x:c r="F29" s="18" t="str">
        <x:v>OPEN</x:v>
      </x:c>
      <x:c r="G29" s="18" t="str">
        <x:v>2026-10-19</x:v>
      </x:c>
      <x:c r="H29" s="18" t="str">
        <x:v>2026-10-19</x:v>
      </x:c>
      <x:c r="I29" s="18" t="str">
        <x:v>6203687</x:v>
      </x:c>
      <x:c r="J29" s="18" t="str">
        <x:v>6203687</x:v>
      </x:c>
      <x:c r="K29" s="18" t="str">
        <x:v>src/modules/checkout/checkout.ts</x:v>
      </x:c>
      <x:c r="L29" s="18" t="str">
        <x:v>database creates order/invoice/payment attempt before Stripe call; Stripe API call has no explicit idempotencyKey; catch sets Fortless idempotency record to FAILED and reopens quote but does not roll back local order and invoice. Network timeouts can be unknown outcomes.</x:v>
      </x:c>
      <x:c r="M29" s="18" t="str">
        <x:v>orphaned orders, repeated checkout sessions and possible duplicate recurring subscriptions on retries.</x:v>
      </x:c>
      <x:c r="N29" s="18" t="str">
        <x:v>pass stable scoped Stripe idempotency key, track UNKNOWN_PROVIDER_OUTCOME, query/reconcile created session before retry, and use durable saga/compensation for local records.</x:v>
      </x:c>
      <x:c r="O29" s="18" t="str">
        <x:v>simulate timeout after successful Stripe creation; retry with same and new client keys; no duplicate subscriptions or orphaned billable orders.</x:v>
      </x:c>
      <x:c r="P29" s="18" t="str">
        <x:v>FORTLESS_AUDIT_PUSH_6203687_2026-10-19.md</x:v>
      </x:c>
      <x:c r="Q29" s="18" t="str">
        <x:v>https://github.com/trencito42/fortless/blob/620368742f1df3fd36778dc1e4e567e404cb021b/src/modules/checkout/checkout.ts</x:v>
      </x:c>
      <x:c r="R29" s="18" t="str">
        <x:v>Coding AI</x:v>
      </x:c>
      <x:c r="S29" s="18" t="str"/>
    </x:row>
    <x:row r="30" ht="66" customHeight="1">
      <x:c r="A30" s="18" t="str">
        <x:v>FTL-PROV-201</x:v>
      </x:c>
      <x:c r="B30" s="18" t="str">
        <x:v>P0</x:v>
      </x:c>
      <x:c r="C30" s="18" t="str">
        <x:v>CRITICAL</x:v>
      </x:c>
      <x:c r="D30" s="18" t="str">
        <x:v>Provisioning</x:v>
      </x:c>
      <x:c r="E30" s="18" t="str">
        <x:v>Worker uses one global provider for all service types</x:v>
      </x:c>
      <x:c r="F30" s="18" t="str">
        <x:v>OPEN</x:v>
      </x:c>
      <x:c r="G30" s="18" t="str">
        <x:v>2026-10-19</x:v>
      </x:c>
      <x:c r="H30" s="18" t="str">
        <x:v>2026-10-19</x:v>
      </x:c>
      <x:c r="I30" s="18" t="str">
        <x:v>6203687</x:v>
      </x:c>
      <x:c r="J30" s="18" t="str">
        <x:v>6203687</x:v>
      </x:c>
      <x:c r="K30" s="18" t="str">
        <x:v>src/modules/outbox/worker.ts, src/modules/checkout/checkout.ts, src/modules/payments/webhooks.ts</x:v>
      </x:c>
      <x:c r="L30" s="18" t="str">
        <x:v>worker has one defaultAdapter and passes it to every event; webhook/free checkout assign product-specific provider_type but provider_instance_id maps only CPANEL differently, all other types go to pterodactyl_primary.</x:v>
      </x:c>
      <x:c r="M30" s="18" t="str">
        <x:v>cPanel/Proxmox/registrar products cannot safely fulfill through the correct provider when mixed in one Fortless deployment.</x:v>
      </x:c>
      <x:c r="N30" s="18" t="str">
        <x:v>adapter registry keyed by provider type and instance per service; dispatch provision, suspend, unsuspend, terminate and reconciliation using the linked instance. Disallow unsupported provider types until real tested adapter exists.</x:v>
      </x:c>
      <x:c r="O30" s="18" t="str">
        <x:v>a mixed cart triggers the correct provider call for each item; no cross-provider calls; resource lifecycle operations route to the same provider that created the resource.</x:v>
      </x:c>
      <x:c r="P30" s="18" t="str">
        <x:v>FORTLESS_AUDIT_PUSH_6203687_2026-10-19.md</x:v>
      </x:c>
      <x:c r="Q30" s="18" t="str">
        <x:v>https://github.com/trencito42/fortless/blob/620368742f1df3fd36778dc1e4e567e404cb021b/src/modules/outbox/worker.ts</x:v>
      </x:c>
      <x:c r="R30" s="18" t="str">
        <x:v>Coding AI</x:v>
      </x:c>
      <x:c r="S30" s="18" t="str"/>
    </x:row>
    <x:row r="31" ht="66" customHeight="1">
      <x:c r="A31" s="18" t="str">
        <x:v>FTL-PROV-202</x:v>
      </x:c>
      <x:c r="B31" s="18" t="str">
        <x:v>P0</x:v>
      </x:c>
      <x:c r="C31" s="18" t="str">
        <x:v>HIGH</x:v>
      </x:c>
      <x:c r="D31" s="18" t="str">
        <x:v>Provisioning</x:v>
      </x:c>
      <x:c r="E31" s="18" t="str">
        <x:v>Hardcoded node fallback and no capacity-aware assignment on paid/free checkout</x:v>
      </x:c>
      <x:c r="F31" s="18" t="str">
        <x:v>OPEN</x:v>
      </x:c>
      <x:c r="G31" s="18" t="str">
        <x:v>2026-10-19</x:v>
      </x:c>
      <x:c r="H31" s="18" t="str">
        <x:v>2026-10-19</x:v>
      </x:c>
      <x:c r="I31" s="18" t="str">
        <x:v>6203687</x:v>
      </x:c>
      <x:c r="J31" s="18" t="str">
        <x:v>6203687</x:v>
      </x:c>
      <x:c r="K31" s="18" t="str">
        <x:v>src/modules/checkout/checkout.ts, src/modules/payments/webhooks.ts</x:v>
      </x:c>
      <x:c r="L31" s="18" t="str">
        <x:v>selects first nonmaintenance node by region only, no capacity predicates, and falls back to node_fra_01 if no node exists; a single selected node is applied to all order items.</x:v>
      </x:c>
      <x:c r="M31" s="18" t="str">
        <x:v>wrong datacenter or provider, invalid FK, overcommit, unfulfillable paid purchases.</x:v>
      </x:c>
      <x:c r="N31" s="18" t="str">
        <x:v>atomically reserve capacity per line item before accepting/fulfilling payment, fail/review when no eligible capacity; no hardcoded fallbacks. Respect each quoted item region.</x:v>
      </x:c>
      <x:c r="O31" s="18" t="str">
        <x:v>no eligible node =&gt; no fake node assignment; multi-item/multi-region checkout selects correct nodes and doesn't overbook under concurrent checkouts.</x:v>
      </x:c>
      <x:c r="P31" s="18" t="str">
        <x:v>FORTLESS_AUDIT_PUSH_6203687_2026-10-19.md</x:v>
      </x:c>
      <x:c r="Q31" s="18" t="str">
        <x:v>https://github.com/trencito42/fortless/blob/620368742f1df3fd36778dc1e4e567e404cb021b/src/modules/checkout/checkout.ts</x:v>
      </x:c>
      <x:c r="R31" s="18" t="str">
        <x:v>Coding AI</x:v>
      </x:c>
      <x:c r="S31" s="18" t="str"/>
    </x:row>
    <x:row r="32" ht="66" customHeight="1">
      <x:c r="A32" s="18" t="str">
        <x:v>FTL-PROV-203</x:v>
      </x:c>
      <x:c r="B32" s="18" t="str">
        <x:v>P0</x:v>
      </x:c>
      <x:c r="C32" s="18" t="str">
        <x:v>HIGH</x:v>
      </x:c>
      <x:c r="D32" s="18" t="str">
        <x:v>Provisioning</x:v>
      </x:c>
      <x:c r="E32" s="18" t="str">
        <x:v>Capacity concurrency check is not atomic with reservation/update</x:v>
      </x:c>
      <x:c r="F32" s="18" t="str">
        <x:v>OPEN</x:v>
      </x:c>
      <x:c r="G32" s="18" t="str">
        <x:v>2026-10-19</x:v>
      </x:c>
      <x:c r="H32" s="18" t="str">
        <x:v>2026-10-19</x:v>
      </x:c>
      <x:c r="I32" s="18" t="str">
        <x:v>6203687</x:v>
      </x:c>
      <x:c r="J32" s="18" t="str">
        <x:v>6203687</x:v>
      </x:c>
      <x:c r="K32" s="18" t="str">
        <x:v>src/modules/outbox/worker.ts</x:v>
      </x:c>
      <x:c r="L32" s="18" t="str">
        <x:v>executeProvisioningSaga checks node allocated_ before remote provider provision; only updates counters later, after remote call, in a separate database transaction. Concurrent workers can read the same available headroom.</x:v>
      </x:c>
      <x:c r="M32" s="18" t="str">
        <x:v>overcommit, inconsistent allocations and partially provisioned resources.</x:v>
      </x:c>
      <x:c r="N32" s="18" t="str">
        <x:v>node capacity reservation in one DB transaction before remote calls, with lease/finalize/release state, concurrency stress tests and saga recovery.</x:v>
      </x:c>
      <x:c r="O32" s="18" t="str">
        <x:v>simultaneous purchases cannot allocate more than available memory/disk; crashes/failed provider calls recover reservation consistently.</x:v>
      </x:c>
      <x:c r="P32" s="18" t="str">
        <x:v>FORTLESS_AUDIT_PUSH_6203687_2026-10-19.md</x:v>
      </x:c>
      <x:c r="Q32" s="18" t="str">
        <x:v>https://github.com/trencito42/fortless/blob/620368742f1df3fd36778dc1e4e567e404cb021b/src/modules/outbox/worker.ts</x:v>
      </x:c>
      <x:c r="R32" s="18" t="str">
        <x:v>Coding AI</x:v>
      </x:c>
      <x:c r="S32" s="18" t="str"/>
    </x:row>
    <x:row r="33" ht="66" customHeight="1">
      <x:c r="A33" s="18" t="str">
        <x:v>FTL-PROV-204</x:v>
      </x:c>
      <x:c r="B33" s="18" t="str">
        <x:v>P0</x:v>
      </x:c>
      <x:c r="C33" s="18" t="str">
        <x:v>HIGH</x:v>
      </x:c>
      <x:c r="D33" s="18" t="str">
        <x:v>Provisioning</x:v>
      </x:c>
      <x:c r="E33" s="18" t="str">
        <x:v>Provider operation success sets runtime RUNNING without confirming real readiness</x:v>
      </x:c>
      <x:c r="F33" s="18" t="str">
        <x:v>OPEN</x:v>
      </x:c>
      <x:c r="G33" s="18" t="str">
        <x:v>2026-10-19</x:v>
      </x:c>
      <x:c r="H33" s="18" t="str">
        <x:v>2026-10-19</x:v>
      </x:c>
      <x:c r="I33" s="18" t="str">
        <x:v>6203687</x:v>
      </x:c>
      <x:c r="J33" s="18" t="str">
        <x:v>6203687</x:v>
      </x:c>
      <x:c r="K33" s="18" t="str">
        <x:v>src/modules/outbox/worker.ts</x:v>
      </x:c>
      <x:c r="L33" s="18" t="str">
        <x:v>immediately sets service observed runtime to RUNNING after provision API returns a resource ID, without polling Pterodactyl install/start readiness.</x:v>
      </x:c>
      <x:c r="M33" s="18" t="str">
        <x:v>user sees 'Running' when installing or failed; feature controls may activate prematurely.</x:v>
      </x:c>
      <x:c r="N33" s="18" t="str">
        <x:v>observed state only from provider, distinguish QUEUED / PROVISIONING / INSTALLING / STARTING / RUNNING / STOPPED / FAILED; configure readiness check and provider reconciliation.</x:v>
      </x:c>
      <x:c r="O33" s="18" t="str">
        <x:v>mock slow installs and failed starts do not show RUNNING or ready console until provider confirms.</x:v>
      </x:c>
      <x:c r="P33" s="18" t="str">
        <x:v>FORTLESS_AUDIT_PUSH_6203687_2026-10-19.md</x:v>
      </x:c>
      <x:c r="Q33" s="18" t="str">
        <x:v>https://github.com/trencito42/fortless/blob/620368742f1df3fd36778dc1e4e567e404cb021b/src/modules/outbox/worker.ts</x:v>
      </x:c>
      <x:c r="R33" s="18" t="str">
        <x:v>Coding AI</x:v>
      </x:c>
      <x:c r="S33" s="18" t="str"/>
    </x:row>
    <x:row r="34" ht="66" customHeight="1">
      <x:c r="A34" s="18" t="str">
        <x:v>FTL-DNS-201</x:v>
      </x:c>
      <x:c r="B34" s="18" t="str">
        <x:v>P1</x:v>
      </x:c>
      <x:c r="C34" s="18" t="str">
        <x:v>HIGH</x:v>
      </x:c>
      <x:c r="D34" s="18" t="str">
        <x:v>Domains &amp; DNS</x:v>
      </x:c>
      <x:c r="E34" s="18" t="str">
        <x:v>Domain search is not external registrar availability</x:v>
      </x:c>
      <x:c r="F34" s="18" t="str">
        <x:v>OPEN</x:v>
      </x:c>
      <x:c r="G34" s="18" t="str">
        <x:v>2026-10-19</x:v>
      </x:c>
      <x:c r="H34" s="18" t="str">
        <x:v>2026-10-19</x:v>
      </x:c>
      <x:c r="I34" s="18" t="str">
        <x:v>6203687</x:v>
      </x:c>
      <x:c r="J34" s="18" t="str">
        <x:v>6203687</x:v>
      </x:c>
      <x:c r="K34" s="18" t="str">
        <x:v>src/modules/domains/dns.ts</x:v>
      </x:c>
      <x:c r="L34" s="18" t="str">
        <x:v>availability is derived only from a local domain_zones table lookup; no registrar, registry or RDAP availability verification.</x:v>
      </x:c>
      <x:c r="M34" s="18" t="str">
        <x:v>already-owned domains outside Fortless can be displayed as AVAILABLE; must not sell/reserve as real registration.</x:v>
      </x:c>
      <x:c r="N34" s="18" t="str">
        <x:v>explicit LOCAL_ZONE_AVAILABLE vs REGISTRAR_AVAILABLE states; only advertise actual purchase availability after provider verification, and fail closed if provider unavailable.</x:v>
      </x:c>
      <x:c r="O34" s="18" t="str"/>
      <x:c r="P34" s="18" t="str">
        <x:v>FORTLESS_AUDIT_PUSH_6203687_2026-10-19.md</x:v>
      </x:c>
      <x:c r="Q34" s="18" t="str">
        <x:v>https://github.com/trencito42/fortless/blob/620368742f1df3fd36778dc1e4e567e404cb021b/src/modules/domains/dns.ts</x:v>
      </x:c>
      <x:c r="R34" s="18" t="str">
        <x:v>Coding AI</x:v>
      </x:c>
      <x:c r="S34" s="18" t="str"/>
    </x:row>
    <x:row r="35" ht="66" customHeight="1">
      <x:c r="A35" s="18" t="str">
        <x:v>FTL-DNS-202</x:v>
      </x:c>
      <x:c r="B35" s="18" t="str">
        <x:v>P1</x:v>
      </x:c>
      <x:c r="C35" s="18" t="str">
        <x:v>HIGH</x:v>
      </x:c>
      <x:c r="D35" s="18" t="str">
        <x:v>Domains &amp; DNS</x:v>
      </x:c>
      <x:c r="E35" s="18" t="str">
        <x:v>Locally created zone advertised ACTIVE without DNS authority proof</x:v>
      </x:c>
      <x:c r="F35" s="18" t="str">
        <x:v>OPEN</x:v>
      </x:c>
      <x:c r="G35" s="18" t="str">
        <x:v>2026-10-19</x:v>
      </x:c>
      <x:c r="H35" s="18" t="str">
        <x:v>2026-10-19</x:v>
      </x:c>
      <x:c r="I35" s="18" t="str">
        <x:v>6203687</x:v>
      </x:c>
      <x:c r="J35" s="18" t="str">
        <x:v>6203687</x:v>
      </x:c>
      <x:c r="K35" s="18" t="str">
        <x:v>src/modules/domains/dns.ts</x:v>
      </x:c>
      <x:c r="L35" s="18" t="str">
        <x:v>inserts domain_zones.status='ACTIVE', stores ns1.fortless.net, ns2.fortless.net and records solely in SQLite.</x:v>
      </x:c>
      <x:c r="M35" s="18" t="str">
        <x:v>suggests authoritative DNS is active while no confirmed provider-created zone or delegation exists.</x:v>
      </x:c>
      <x:c r="N35" s="18" t="str">
        <x:v>pending/verified state tied to DNS provider create/confirm/delegation API; preserve honest UI and domain ownership checks.</x:v>
      </x:c>
      <x:c r="O35" s="18" t="str">
        <x:v>no external DNS active claim without verified provider response, record propagation and delegation.</x:v>
      </x:c>
      <x:c r="P35" s="18" t="str">
        <x:v>FORTLESS_AUDIT_PUSH_6203687_2026-10-19.md</x:v>
      </x:c>
      <x:c r="Q35" s="18" t="str">
        <x:v>https://github.com/trencito42/fortless/blob/620368742f1df3fd36778dc1e4e567e404cb021b/src/modules/domains/dns.ts</x:v>
      </x:c>
      <x:c r="R35" s="18" t="str">
        <x:v>Coding AI</x:v>
      </x:c>
      <x:c r="S35" s="18" t="str"/>
    </x:row>
    <x:row r="36" ht="66" customHeight="1">
      <x:c r="A36" s="18" t="str">
        <x:v>FTL-SEC-204</x:v>
      </x:c>
      <x:c r="B36" s="18" t="str">
        <x:v>P1</x:v>
      </x:c>
      <x:c r="C36" s="18" t="str">
        <x:v>MEDIUM</x:v>
      </x:c>
      <x:c r="D36" s="18" t="str">
        <x:v>Security</x:v>
      </x:c>
      <x:c r="E36" s="18" t="str">
        <x:v>Recovery-code entropy only ~32 bits, fast hash</x:v>
      </x:c>
      <x:c r="F36" s="18" t="str">
        <x:v>OPEN</x:v>
      </x:c>
      <x:c r="G36" s="18" t="str">
        <x:v>2026-10-19</x:v>
      </x:c>
      <x:c r="H36" s="18" t="str">
        <x:v>2026-10-19</x:v>
      </x:c>
      <x:c r="I36" s="18" t="str">
        <x:v>6203687</x:v>
      </x:c>
      <x:c r="J36" s="18" t="str">
        <x:v>6203687</x:v>
      </x:c>
      <x:c r="K36" s="18" t="str">
        <x:v>src/modules/identity/auth.ts</x:v>
      </x:c>
      <x:c r="L36" s="18" t="str">
        <x:v>recovery code is two four-hex-digit chunks made by .slice(0,4) twice, totaling 8 hex digits (32 bits). SHA-256 digest salted with user ID but not a deliberately slow KDF.</x:v>
      </x:c>
      <x:c r="M36" s="18" t="str">
        <x:v>offline recovery-code enumeration is feasible if hashed-code database is leaked.</x:v>
      </x:c>
      <x:c r="N36" s="18" t="str">
        <x:v>generate at least 128-bit uniformly random recovery tokens, normalize/format for usability, hash using keyed/peppered approach and secure handling.</x:v>
      </x:c>
      <x:c r="O36" s="18" t="str">
        <x:v>entropy regression test; old codes migrated/reissued safely.</x:v>
      </x:c>
      <x:c r="P36" s="18" t="str">
        <x:v>FORTLESS_AUDIT_PUSH_6203687_2026-10-19.md</x:v>
      </x:c>
      <x:c r="Q36" s="18" t="str">
        <x:v>https://github.com/trencito42/fortless/blob/620368742f1df3fd36778dc1e4e567e404cb021b/src/modules/identity/auth.ts</x:v>
      </x:c>
      <x:c r="R36" s="18" t="str">
        <x:v>Coding AI</x:v>
      </x:c>
      <x:c r="S36" s="18" t="str"/>
    </x:row>
    <x:row r="37" ht="66" customHeight="1">
      <x:c r="A37" s="18" t="str">
        <x:v>FTL-SEC-205</x:v>
      </x:c>
      <x:c r="B37" s="18" t="str">
        <x:v>P1</x:v>
      </x:c>
      <x:c r="C37" s="18" t="str">
        <x:v>MEDIUM</x:v>
      </x:c>
      <x:c r="D37" s="18" t="str">
        <x:v>Security</x:v>
      </x:c>
      <x:c r="E37" s="18" t="str">
        <x:v>Account-and-IP login throttle has no account-wide distributed limit</x:v>
      </x:c>
      <x:c r="F37" s="18" t="str">
        <x:v>OPEN</x:v>
      </x:c>
      <x:c r="G37" s="18" t="str">
        <x:v>2026-10-19</x:v>
      </x:c>
      <x:c r="H37" s="18" t="str">
        <x:v>2026-10-19</x:v>
      </x:c>
      <x:c r="I37" s="18" t="str">
        <x:v>6203687</x:v>
      </x:c>
      <x:c r="J37" s="18" t="str">
        <x:v>6203687</x:v>
      </x:c>
      <x:c r="K37" s="18" t="str">
        <x:v>src/modules/identity/auth.ts</x:v>
      </x:c>
      <x:c r="L37" s="18" t="str">
        <x:v>failure count filtered by both identifier_hash and ip_address; varying source IP avoids the per-tuple threshold. There is a generic request rate limit but no identified account-wide failed-password limiter.</x:v>
      </x:c>
      <x:c r="M37" s="18" t="str">
        <x:v>distributed password guessing/credential stuffing remains inadequately controlled.</x:v>
      </x:c>
      <x:c r="N37" s="18" t="str">
        <x:v>per-identity and global risk-based limits with privacy-preserving responses, backoff and monitoring; avoid trivial distributed reset.</x:v>
      </x:c>
      <x:c r="O37" s="18" t="str"/>
      <x:c r="P37" s="18" t="str">
        <x:v>FORTLESS_AUDIT_PUSH_6203687_2026-10-19.md</x:v>
      </x:c>
      <x:c r="Q37" s="18" t="str">
        <x:v>https://github.com/trencito42/fortless/blob/620368742f1df3fd36778dc1e4e567e404cb021b/src/modules/identity/auth.ts</x:v>
      </x:c>
      <x:c r="R37" s="18" t="str">
        <x:v>Coding AI</x:v>
      </x:c>
      <x:c r="S37" s="18" t="str"/>
    </x:row>
    <x:row r="38" ht="66" customHeight="1">
      <x:c r="A38" s="18" t="str">
        <x:v>FTL-UI-201</x:v>
      </x:c>
      <x:c r="B38" s="18" t="str">
        <x:v>P1</x:v>
      </x:c>
      <x:c r="C38" s="18" t="str">
        <x:v>MEDIUM</x:v>
      </x:c>
      <x:c r="D38" s="18" t="str">
        <x:v>UI / UX</x:v>
      </x:c>
      <x:c r="E38" s="18" t="str">
        <x:v>Billing-only workspace user sees server power buttons</x:v>
      </x:c>
      <x:c r="F38" s="18" t="str">
        <x:v>OPEN</x:v>
      </x:c>
      <x:c r="G38" s="18" t="str">
        <x:v>2026-10-19</x:v>
      </x:c>
      <x:c r="H38" s="18" t="str">
        <x:v>2026-10-19</x:v>
      </x:c>
      <x:c r="I38" s="18" t="str">
        <x:v>6203687</x:v>
      </x:c>
      <x:c r="J38" s="18" t="str">
        <x:v>6203687</x:v>
      </x:c>
      <x:c r="K38" s="18" t="str">
        <x:v>src/frontend/client/pages/dashboard/index.ts, src/modules/provisioning/service-access.ts</x:v>
      </x:c>
      <x:c r="L38" s="18" t="str">
        <x:v>list uses canControl = st.controllable &amp;&amp; (!svc.shared_by || svc.shared_preset !== 'viewer'); own-account row has shared_by=null even when logged-in membership role is BILLING_MANAGER/read-only. Backend restricts non-OWNER/TECH_ADMIN to activity.read.</x:v>
      </x:c>
      <x:c r="M38" s="18" t="str">
        <x:v>misleading Restart/Stop/Start buttons that backend rejects; not an authorization bypass by itself.</x:v>
      </x:c>
      <x:c r="N38" s="18" t="str">
        <x:v>return user effective action permissions for each listed service, render per-action controls only when allowed; server remains source of truth.</x:v>
      </x:c>
      <x:c r="O38" s="18" t="str"/>
      <x:c r="P38" s="18" t="str">
        <x:v>FORTLESS_AUDIT_PUSH_6203687_2026-10-19.md</x:v>
      </x:c>
      <x:c r="Q38" s="18" t="str">
        <x:v>https://github.com/trencito42/fortless/blob/620368742f1df3fd36778dc1e4e567e404cb021b/src/frontend/client/pages/dashboard/index.ts</x:v>
      </x:c>
      <x:c r="R38" s="18" t="str">
        <x:v>Coding AI</x:v>
      </x:c>
      <x:c r="S38" s="18" t="str"/>
    </x:row>
    <x:row r="39" ht="66" customHeight="1">
      <x:c r="A39" s="18" t="str">
        <x:v>FTL-UI-202</x:v>
      </x:c>
      <x:c r="B39" s="18" t="str">
        <x:v>P1</x:v>
      </x:c>
      <x:c r="C39" s="18" t="str">
        <x:v>MEDIUM</x:v>
      </x:c>
      <x:c r="D39" s="18" t="str">
        <x:v>UI / UX</x:v>
      </x:c>
      <x:c r="E39" s="18" t="str">
        <x:v>Service detail renders Pterodactyl actions for incompatible provider types</x:v>
      </x:c>
      <x:c r="F39" s="18" t="str">
        <x:v>OPEN</x:v>
      </x:c>
      <x:c r="G39" s="18" t="str">
        <x:v>2026-10-19</x:v>
      </x:c>
      <x:c r="H39" s="18" t="str">
        <x:v>2026-10-19</x:v>
      </x:c>
      <x:c r="I39" s="18" t="str">
        <x:v>6203687</x:v>
      </x:c>
      <x:c r="J39" s="18" t="str">
        <x:v>6203687</x:v>
      </x:c>
      <x:c r="K39" s="18" t="str">
        <x:v>src/frontend/client/pages/services/index.ts</x:v>
      </x:c>
      <x:c r="L39" s="18" t="str">
        <x:v>service detail uses global capabilitiesStore.provisioning.enabled and permission list, not service.providerType, to decide which tabs to expose. cPanel and VPS services can show Console, Files, Game, Databases etc; backend resolveOwnedService throws CONSOLE_UNSUPPORTED if global adapter is not Pterodactyl.</x:v>
      </x:c>
      <x:c r="M39" s="18" t="str">
        <x:v>service type-specific controls appear but fail; poor product/provider abstraction.</x:v>
      </x:c>
      <x:c r="N39" s="18" t="str">
        <x:v>provider capability matrix returned by backend per service; only render supported, authorized actions and appropriate tabs.</x:v>
      </x:c>
      <x:c r="O39" s="18" t="str"/>
      <x:c r="P39" s="18" t="str">
        <x:v>FORTLESS_AUDIT_PUSH_6203687_2026-10-19.md</x:v>
      </x:c>
      <x:c r="Q39" s="18" t="str">
        <x:v>https://github.com/trencito42/fortless/blob/620368742f1df3fd36778dc1e4e567e404cb021b/src/frontend/client/pages/services/index.ts</x:v>
      </x:c>
      <x:c r="R39" s="18" t="str">
        <x:v>Coding AI</x:v>
      </x:c>
      <x:c r="S39" s="18" t="str"/>
    </x:row>
    <x:row r="40" ht="66" customHeight="1">
      <x:c r="A40" s="18" t="str">
        <x:v>FTL-UI-203</x:v>
      </x:c>
      <x:c r="B40" s="18" t="str">
        <x:v>P1</x:v>
      </x:c>
      <x:c r="C40" s="18" t="str">
        <x:v>MEDIUM</x:v>
      </x:c>
      <x:c r="D40" s="18" t="str">
        <x:v>UI / UX</x:v>
      </x:c>
      <x:c r="E40" s="18" t="str">
        <x:v>Route navigation is not race-safe for async page loaders</x:v>
      </x:c>
      <x:c r="F40" s="18" t="str">
        <x:v>OPEN</x:v>
      </x:c>
      <x:c r="G40" s="18" t="str">
        <x:v>2026-10-19</x:v>
      </x:c>
      <x:c r="H40" s="18" t="str">
        <x:v>2026-10-19</x:v>
      </x:c>
      <x:c r="I40" s="18" t="str">
        <x:v>6203687</x:v>
      </x:c>
      <x:c r="J40" s="18" t="str">
        <x:v>6203687</x:v>
      </x:c>
      <x:c r="K40" s="18" t="str">
        <x:v>src/frontend/core/router/router.ts</x:v>
      </x:c>
      <x:c r="L40" s="18" t="str">
        <x:v>resolve runs handler(this.currentMatch) without awaiting/abort/token; separate async loaders can finish after route changed, and previous cleanup runs before async handler completes.</x:v>
      </x:c>
      <x:c r="M40" s="18" t="str">
        <x:v>stale mutations/toasts/listeners and inconsistent page state during rapid navigation; requires browser reproduction to measure user-visible frequency.</x:v>
      </x:c>
      <x:c r="N40" s="18" t="str">
        <x:v>abort controllers/navigation sequence numbers; ignore stale results; route lifecycle cleanup after work finishes, loading state and error recovery.</x:v>
      </x:c>
      <x:c r="O40" s="18" t="str">
        <x:v>rapid multi-route clicks with delayed API responses never show stale route, wrong title, lingering socket or wrong toast.</x:v>
      </x:c>
      <x:c r="P40" s="18" t="str">
        <x:v>FORTLESS_AUDIT_PUSH_6203687_2026-10-19.md</x:v>
      </x:c>
      <x:c r="Q40" s="18" t="str">
        <x:v>https://github.com/trencito42/fortless/blob/620368742f1df3fd36778dc1e4e567e404cb021b/src/frontend/core/router/router.ts</x:v>
      </x:c>
      <x:c r="R40" s="18" t="str">
        <x:v>Coding AI</x:v>
      </x:c>
      <x:c r="S40" s="18" t="str"/>
    </x:row>
    <x:row r="41" ht="66" customHeight="1">
      <x:c r="A41" s="18" t="str">
        <x:v>FTL-UI-204</x:v>
      </x:c>
      <x:c r="B41" s="18" t="str">
        <x:v>P1</x:v>
      </x:c>
      <x:c r="C41" s="18" t="str">
        <x:v>MEDIUM</x:v>
      </x:c>
      <x:c r="D41" s="18" t="str">
        <x:v>UI / UX</x:v>
      </x:c>
      <x:c r="E41" s="18" t="str">
        <x:v>Canonical visual QA checks 22 routes, omits 2 required views</x:v>
      </x:c>
      <x:c r="F41" s="18" t="str">
        <x:v>OPEN</x:v>
      </x:c>
      <x:c r="G41" s="18" t="str">
        <x:v>2026-10-19</x:v>
      </x:c>
      <x:c r="H41" s="18" t="str">
        <x:v>2026-10-19</x:v>
      </x:c>
      <x:c r="I41" s="18" t="str">
        <x:v>6203687</x:v>
      </x:c>
      <x:c r="J41" s="18" t="str">
        <x:v>6203687</x:v>
      </x:c>
      <x:c r="K41" s="18" t="str">
        <x:v>scripts/verify-views.py</x:v>
      </x:c>
      <x:c r="L41" s="18" t="str">
        <x:v>ROUTES includes 6 auth + 8 client + 6 operations + 2 public = 22, omitting service detail and ticket detail from 24. No authenticated fixtures or reference-image pixel comparison; one viewport pair (1400/390).</x:v>
      </x:c>
      <x:c r="M41" s="18" t="str">
        <x:v>running script cannot demonstrate 24-view design fidelity, much less smart interaction states.</x:v>
      </x:c>
      <x:c r="N41" s="18" t="str">
        <x:v>add both detail routes and seeded authentication, screenshots for canonical reference, multi-viewport and state matrix, visual comparison + manual review.</x:v>
      </x:c>
      <x:c r="O41" s="18" t="str"/>
      <x:c r="P41" s="18" t="str">
        <x:v>FORTLESS_AUDIT_PUSH_6203687_2026-10-19.md</x:v>
      </x:c>
      <x:c r="Q41" s="18" t="str">
        <x:v>https://github.com/trencito42/fortless/blob/620368742f1df3fd36778dc1e4e567e404cb021b/scripts/verify-views.py</x:v>
      </x:c>
      <x:c r="R41" s="18" t="str">
        <x:v>Coding AI</x:v>
      </x:c>
      <x:c r="S41" s="18" t="str">
        <x:v>22/24 routes covered by screenshot script, incomplete visual parity checks</x:v>
      </x:c>
    </x:row>
    <x:row r="42" ht="66" customHeight="1">
      <x:c r="A42" s="18" t="str">
        <x:v>FTL-UI-205</x:v>
      </x:c>
      <x:c r="B42" s="18" t="str">
        <x:v>P2</x:v>
      </x:c>
      <x:c r="C42" s="18" t="str">
        <x:v>LOW</x:v>
      </x:c>
      <x:c r="D42" s="18" t="str">
        <x:v>UI / UX</x:v>
      </x:c>
      <x:c r="E42" s="18" t="str">
        <x:v>Refresh success toast appears before network refresh completes</x:v>
      </x:c>
      <x:c r="F42" s="18" t="str">
        <x:v>OPEN</x:v>
      </x:c>
      <x:c r="G42" s="18" t="str">
        <x:v>2026-10-19</x:v>
      </x:c>
      <x:c r="H42" s="18" t="str">
        <x:v>2026-10-19</x:v>
      </x:c>
      <x:c r="I42" s="18" t="str">
        <x:v>6203687</x:v>
      </x:c>
      <x:c r="J42" s="18" t="str">
        <x:v>6203687</x:v>
      </x:c>
      <x:c r="K42" s="18" t="str">
        <x:v>src/frontend/client/pages/dashboard/index.ts</x:v>
      </x:c>
      <x:c r="L42" s="18" t="str">
        <x:v>clicking refreshServicesBtn calls toast('Refreshed services list') then renderServices(), which asynchronously calls API and can fail.</x:v>
      </x:c>
      <x:c r="M42" s="18" t="str">
        <x:v>false success feedback and poor trust.</x:v>
      </x:c>
      <x:c r="N42" s="18" t="str">
        <x:v>pending state then actual success/error feedback based on awaited fetch.</x:v>
      </x:c>
      <x:c r="O42" s="18" t="str"/>
      <x:c r="P42" s="18" t="str">
        <x:v>FORTLESS_AUDIT_PUSH_6203687_2026-10-19.md</x:v>
      </x:c>
      <x:c r="Q42" s="18" t="str">
        <x:v>https://github.com/trencito42/fortless/blob/620368742f1df3fd36778dc1e4e567e404cb021b/src/frontend/client/pages/dashboard/index.ts</x:v>
      </x:c>
      <x:c r="R42" s="18" t="str">
        <x:v>Coding AI</x:v>
      </x:c>
      <x:c r="S42" s="18" t="str"/>
    </x:row>
    <x:row r="43" ht="66" customHeight="1">
      <x:c r="A43" s="18" t="str">
        <x:v>FTL-UI-206</x:v>
      </x:c>
      <x:c r="B43" s="18" t="str">
        <x:v>P1</x:v>
      </x:c>
      <x:c r="C43" s="18" t="str">
        <x:v>MEDIUM</x:v>
      </x:c>
      <x:c r="D43" s="18" t="str">
        <x:v>UI / UX</x:v>
      </x:c>
      <x:c r="E43" s="18" t="str">
        <x:v>Client power controls do not use runtime-action eligibility or live provider-specific state comprehensively</x:v>
      </x:c>
      <x:c r="F43" s="18" t="str">
        <x:v>OPEN</x:v>
      </x:c>
      <x:c r="G43" s="18" t="str">
        <x:v>2026-10-19</x:v>
      </x:c>
      <x:c r="H43" s="18" t="str">
        <x:v>2026-10-19</x:v>
      </x:c>
      <x:c r="I43" s="18" t="str">
        <x:v>6203687</x:v>
      </x:c>
      <x:c r="J43" s="18" t="str">
        <x:v>6203687</x:v>
      </x:c>
      <x:c r="K43" s="18" t="str">
        <x:v>src/frontend/client/pages/services/status.ts, src/frontend/client/pages/dashboard/index.ts, src/frontend/client/pages/services/index.ts</x:v>
      </x:c>
      <x:c r="L43" s="18" t="str">
        <x:v>any ACTIVE contract is considered controllable, regardless of INSTALLING/ERROR/UNKNOWN; Start often enabled when non-RUNNING, even while installing; UI only checks a global provisioning flag.</x:v>
      </x:c>
      <x:c r="M43" s="18" t="str">
        <x:v>nonsensical actions, 403/409/502 errors, flapping controls.</x:v>
      </x:c>
      <x:c r="N43" s="18" t="str">
        <x:v>backend-owned availableActions per service, state-transition table, precise in-progress/disabled reasons. Hide Manage for TERMINATED (already implemented), preserve read-only historical details where appropriate, disable duplicate actions while processing.</x:v>
      </x:c>
      <x:c r="O43" s="18" t="str"/>
      <x:c r="P43" s="18" t="str">
        <x:v>FORTLESS_AUDIT_PUSH_6203687_2026-10-19.md</x:v>
      </x:c>
      <x:c r="Q43" s="18" t="str">
        <x:v>https://github.com/trencito42/fortless/blob/620368742f1df3fd36778dc1e4e567e404cb021b/src/frontend/client/pages/services/status.ts</x:v>
      </x:c>
      <x:c r="R43" s="18" t="str">
        <x:v>Coding AI</x:v>
      </x:c>
      <x:c r="S43" s="18" t="str"/>
    </x:row>
    <x:row r="44" ht="66" customHeight="1">
      <x:c r="A44" s="18" t="str">
        <x:v>NEW-301</x:v>
      </x:c>
      <x:c r="B44" s="18" t="str">
        <x:v>P0</x:v>
      </x:c>
      <x:c r="C44" s="18" t="str">
        <x:v>HIGH</x:v>
      </x:c>
      <x:c r="D44" s="18" t="str">
        <x:v>New review</x:v>
      </x:c>
      <x:c r="E44" s="18" t="str">
        <x:v>Immediate subscription cancellation calls an async deletion without awaiting it</x:v>
      </x:c>
      <x:c r="F44" s="18" t="str">
        <x:v>OPEN</x:v>
      </x:c>
      <x:c r="G44" s="18" t="str">
        <x:v>2026-10-19</x:v>
      </x:c>
      <x:c r="H44" s="18" t="str">
        <x:v>2026-10-19</x:v>
      </x:c>
      <x:c r="I44" s="18" t="str">
        <x:v>6203687</x:v>
      </x:c>
      <x:c r="J44" s="18" t="str">
        <x:v>6203687</x:v>
      </x:c>
      <x:c r="K44" s="18" t="str">
        <x:v>src/modules/billing/subscriptions.ts, src/modules/provisioning/services.ts, src/server.ts</x:v>
      </x:c>
      <x:c r="L44" s="18" t="str">
        <x:v>cancelSubscription() is synchronous, calls runInTransaction(...), and invokes terminateService({...}, undefined, trx) without await when immediate is true. terminateService() is async and can pause on provider deletion. The endpoint returns success immediately after the transaction commits.</x:v>
      </x:c>
      <x:c r="M44" s="18" t="str">
        <x:v>Subscription can become CANCELED before provider removal and service/capacity changes finish; rejected asynchronous work is not handled by the caller and may reference a DB transaction that has ended.</x:v>
      </x:c>
      <x:c r="N44" s="18" t="str">
        <x:v>Do not call asynchronous provider APIs inside synchronous SQLite transactions. Model an idempotent termination saga with queued provider action, CANCELLATION_PENDING and confirmed terminal state; hold/release billing and capacity at the appropriate stage. Return a truthful pending state.</x:v>
      </x:c>
      <x:c r="O44" s="18" t="str">
        <x:v>Provider delayed/error/timeout tests show no false terminal state, no unhandled rejections, no double release; cancellation action is retry-safe.</x:v>
      </x:c>
      <x:c r="P44" s="18" t="str">
        <x:v>FORTLESS_AUDIT_DELTA_2_6203687.md</x:v>
      </x:c>
      <x:c r="Q44" s="18" t="str">
        <x:v>https://github.com/trencito42/fortless/blob/620368742f1df3fd36778dc1e4e567e404cb021b/src/modules/billing/subscriptions.ts</x:v>
      </x:c>
      <x:c r="R44" s="18" t="str">
        <x:v>Coding AI</x:v>
      </x:c>
      <x:c r="S44" s="18" t="str"/>
    </x:row>
    <x:row r="45" ht="66" customHeight="1">
      <x:c r="A45" s="18" t="str">
        <x:v>NEW-302</x:v>
      </x:c>
      <x:c r="B45" s="18" t="str">
        <x:v>P0</x:v>
      </x:c>
      <x:c r="C45" s="18" t="str">
        <x:v>CRITICAL</x:v>
      </x:c>
      <x:c r="D45" s="18" t="str">
        <x:v>New review</x:v>
      </x:c>
      <x:c r="E45" s="18" t="str">
        <x:v>Provider termination failures are silently treated as successful deletion</x:v>
      </x:c>
      <x:c r="F45" s="18" t="str">
        <x:v>OPEN</x:v>
      </x:c>
      <x:c r="G45" s="18" t="str">
        <x:v>2026-10-19</x:v>
      </x:c>
      <x:c r="H45" s="18" t="str">
        <x:v>2026-10-19</x:v>
      </x:c>
      <x:c r="I45" s="18" t="str">
        <x:v>6203687</x:v>
      </x:c>
      <x:c r="J45" s="18" t="str">
        <x:v>6203687</x:v>
      </x:c>
      <x:c r="K45" s="18" t="str">
        <x:v>src/modules/provisioning/services.ts</x:v>
      </x:c>
      <x:c r="L45" s="18" t="str">
        <x:v>terminateService wraps await adapter.terminate(service.external_id) in try { ... } catch { / If server does not exist remotely, proceed ... / }, with NO distinction between 404, authentication failure, 5xx, network timeout, or any other error. After any failure it sets services.contract_status='TERMINATED' and subsequently releases capacity.</x:v>
      </x:c>
      <x:c r="M45" s="18" t="str">
        <x:v>Fortless can mark a customer server deleted and make its capacity available while the billable Pterodactyl/WHM/Proxmox resource remains running. This also affects other flows that call the same function.</x:v>
      </x:c>
      <x:c r="N45" s="18" t="str">
        <x:v>Treat confirmed remote 404/missing separately; for all other errors persist TERMINATION_PENDING / NEEDS_RECONCILIATION, retain capacity until removal is verified, add bounded retries and alerting. Check provider type and instance before dispatch.</x:v>
      </x:c>
      <x:c r="O45" s="18" t="str">
        <x:v>Simulated 401, 403, 429, 500, timeout and remote 404 have distinct expected outcomes; no resource is considered deleted on an unverified failure.</x:v>
      </x:c>
      <x:c r="P45" s="18" t="str">
        <x:v>FORTLESS_AUDIT_DELTA_2_6203687.md</x:v>
      </x:c>
      <x:c r="Q45" s="18" t="str">
        <x:v>https://github.com/trencito42/fortless/blob/620368742f1df3fd36778dc1e4e567e404cb021b/src/modules/provisioning/services.ts</x:v>
      </x:c>
      <x:c r="R45" s="18" t="str">
        <x:v>Coding AI</x:v>
      </x:c>
      <x:c r="S45" s="18" t="str"/>
    </x:row>
    <x:row r="46" ht="66" customHeight="1">
      <x:c r="A46" s="18" t="str">
        <x:v>NEW-303</x:v>
      </x:c>
      <x:c r="B46" s="18" t="str">
        <x:v>P0</x:v>
      </x:c>
      <x:c r="C46" s="18" t="str">
        <x:v>HIGH</x:v>
      </x:c>
      <x:c r="D46" s="18" t="str">
        <x:v>New review</x:v>
      </x:c>
      <x:c r="E46" s="18" t="str">
        <x:v>Discounts use coupon limits without recording coupon redemption in the purchase path</x:v>
      </x:c>
      <x:c r="F46" s="18" t="str">
        <x:v>OPEN</x:v>
      </x:c>
      <x:c r="G46" s="18" t="str">
        <x:v>2026-10-19</x:v>
      </x:c>
      <x:c r="H46" s="18" t="str">
        <x:v>2026-10-19</x:v>
      </x:c>
      <x:c r="I46" s="18" t="str">
        <x:v>6203687</x:v>
      </x:c>
      <x:c r="J46" s="18" t="str">
        <x:v>6203687</x:v>
      </x:c>
      <x:c r="K46" s="18" t="str">
        <x:v>src/modules/catalog/catalog.ts, src/modules/pricing/quote.ts, src/modules/checkout/checkout.ts, src/modules/payments/webhooks.ts</x:v>
      </x:c>
      <x:c r="L46" s="18" t="str">
        <x:v>validateCoupon tests coupon_redemptions and redemptions_count, redeemCouponAtomic exists, and quotes apply the discount; inspected checkout/settlement do not invoke redeemCouponAtomic or consume the coupon. A passing unit test calling redeemCouponAtomic directly does not show the production purchase path uses it.</x:v>
      </x:c>
      <x:c r="M46" s="18" t="str">
        <x:v>A single-use or max-redemption coupon may remain reusable across distinct discounted orders.</x:v>
      </x:c>
      <x:c r="N46" s="18" t="str">
        <x:v>Link the coupon/discount to order; reserve/consume atomically at the defined checkout or successful-settlement stage, with expiry/release on abandonment, idempotency and refund policy. Recheck limits server-side under concurrent purchase.</x:v>
      </x:c>
      <x:c r="O46" s="18" t="str">
        <x:v>Repeat orders by same user and simultaneous orders from separate users enforce max_redemptions; retries/replayed webhooks never double-redeem.</x:v>
      </x:c>
      <x:c r="P46" s="18" t="str">
        <x:v>FORTLESS_AUDIT_DELTA_2_6203687.md</x:v>
      </x:c>
      <x:c r="Q46" s="18" t="str">
        <x:v>https://github.com/trencito42/fortless/blob/620368742f1df3fd36778dc1e4e567e404cb021b/src/modules/catalog/catalog.ts</x:v>
      </x:c>
      <x:c r="R46" s="18" t="str">
        <x:v>Coding AI</x:v>
      </x:c>
      <x:c r="S46" s="18" t="str"/>
    </x:row>
    <x:row r="47" ht="66" customHeight="1">
      <x:c r="A47" s="18" t="str">
        <x:v>NEW-304</x:v>
      </x:c>
      <x:c r="B47" s="18" t="str">
        <x:v>P0</x:v>
      </x:c>
      <x:c r="C47" s="18" t="str">
        <x:v>HIGH</x:v>
      </x:c>
      <x:c r="D47" s="18" t="str">
        <x:v>New review</x:v>
      </x:c>
      <x:c r="E47" s="18" t="str">
        <x:v>Zero VAT can be requested with an arbitrary unverified tax ID</x:v>
      </x:c>
      <x:c r="F47" s="18" t="str">
        <x:v>OPEN</x:v>
      </x:c>
      <x:c r="G47" s="18" t="str">
        <x:v>2026-10-19</x:v>
      </x:c>
      <x:c r="H47" s="18" t="str">
        <x:v>2026-10-19</x:v>
      </x:c>
      <x:c r="I47" s="18" t="str">
        <x:v>6203687</x:v>
      </x:c>
      <x:c r="J47" s="18" t="str">
        <x:v>6203687</x:v>
      </x:c>
      <x:c r="K47" s="18" t="str">
        <x:v>src/modules/pricing/quote.ts, src/server.ts</x:v>
      </x:c>
      <x:c r="L47" s="18" t="str">
        <x:v>Client controls billingCountry, isB2B, and taxId. resolveTaxRate returns zero VAT if isB2B &amp;&amp; taxId.trim().length &gt; 5 &amp;&amp; billingCountry !== 'DE', without validation of tax number, eligibility, customer/billing evidence, country regime, or vendor registration.</x:v>
      </x:c>
      <x:c r="M47" s="18" t="str">
        <x:v>Incorrect invoices, unintended tax exemptions and compliance/financial exposure. Not evidence of evaded tax in production.</x:v>
      </x:c>
      <x:c r="N47" s="18" t="str">
        <x:v>Centralize tax rules based on the merchant's real jurisdiction and buyer evidence; validate VAT IDs using an authoritative verification process when legally required; preserve validation evidence and review fallback/unknown jurisdictions.</x:v>
      </x:c>
      <x:c r="O47" s="18" t="str">
        <x:v>Random 6-char ID cannot trigger reverse-charge; domestic, cross-border B2B/B2C, valid/invalid IDs, non-EU and unavailable verifier cases tested.</x:v>
      </x:c>
      <x:c r="P47" s="18" t="str">
        <x:v>FORTLESS_AUDIT_DELTA_2_6203687.md</x:v>
      </x:c>
      <x:c r="Q47" s="18" t="str">
        <x:v>https://github.com/trencito42/fortless/blob/620368742f1df3fd36778dc1e4e567e404cb021b/src/modules/pricing/quote.ts</x:v>
      </x:c>
      <x:c r="R47" s="18" t="str">
        <x:v>Coding AI</x:v>
      </x:c>
      <x:c r="S47" s="18" t="str"/>
    </x:row>
    <x:row r="48" ht="66" customHeight="1">
      <x:c r="A48" s="18" t="str">
        <x:v>NEW-305</x:v>
      </x:c>
      <x:c r="B48" s="18" t="str">
        <x:v>P1</x:v>
      </x:c>
      <x:c r="C48" s="18" t="str">
        <x:v>MEDIUM</x:v>
      </x:c>
      <x:c r="D48" s="18" t="str">
        <x:v>New review</x:v>
      </x:c>
      <x:c r="E48" s="18" t="str">
        <x:v>Catalog setup fees are exposed but not billed by quote generator</x:v>
      </x:c>
      <x:c r="F48" s="18" t="str">
        <x:v>OPEN</x:v>
      </x:c>
      <x:c r="G48" s="18" t="str">
        <x:v>2026-10-19</x:v>
      </x:c>
      <x:c r="H48" s="18" t="str">
        <x:v>2026-10-19</x:v>
      </x:c>
      <x:c r="I48" s="18" t="str">
        <x:v>6203687</x:v>
      </x:c>
      <x:c r="J48" s="18" t="str">
        <x:v>6203687</x:v>
      </x:c>
      <x:c r="K48" s="18" t="str">
        <x:v>src/modules/catalog/catalog.ts, src/modules/pricing/quote.ts</x:v>
      </x:c>
      <x:c r="L48" s="18" t="str">
        <x:v>Catalog price rows have setup_fee_minor_units, yet quote price SELECT reads only price_minor_units and builds totals without a setup fee.</x:v>
      </x:c>
      <x:c r="M48" s="18" t="str">
        <x:v>Undercharge for products configured with a one-time setup fee; customer UI and invoice may disagree with catalog.</x:v>
      </x:c>
      <x:c r="N48" s="18" t="str">
        <x:v>Add first-purchase setup charge as a separate priced/taxed invoice line, with explicit semantics for quantity, free plans, renewals and discounts.</x:v>
      </x:c>
      <x:c r="O48" s="18" t="str">
        <x:v>One-time fee charged once, present on quote/checkout/invoice, absent on renewals unless configured otherwise.</x:v>
      </x:c>
      <x:c r="P48" s="18" t="str">
        <x:v>FORTLESS_AUDIT_DELTA_2_6203687.md</x:v>
      </x:c>
      <x:c r="Q48" s="18" t="str">
        <x:v>https://github.com/trencito42/fortless/blob/620368742f1df3fd36778dc1e4e567e404cb021b/src/modules/catalog/catalog.ts</x:v>
      </x:c>
      <x:c r="R48" s="18" t="str">
        <x:v>Coding AI</x:v>
      </x:c>
      <x:c r="S48" s="18" t="str"/>
    </x:row>
    <x:row r="49" ht="66" customHeight="1">
      <x:c r="A49" s="18" t="str">
        <x:v>NEW-306</x:v>
      </x:c>
      <x:c r="B49" s="18" t="str">
        <x:v>P1</x:v>
      </x:c>
      <x:c r="C49" s="18" t="str">
        <x:v>HIGH</x:v>
      </x:c>
      <x:c r="D49" s="18" t="str">
        <x:v>New review</x:v>
      </x:c>
      <x:c r="E49" s="18" t="str">
        <x:v>Passkey enrollment accepts raw PEM public keys and does not require recent step-up</x:v>
      </x:c>
      <x:c r="F49" s="18" t="str">
        <x:v>OPEN</x:v>
      </x:c>
      <x:c r="G49" s="18" t="str">
        <x:v>2026-10-19</x:v>
      </x:c>
      <x:c r="H49" s="18" t="str">
        <x:v>2026-10-19</x:v>
      </x:c>
      <x:c r="I49" s="18" t="str">
        <x:v>6203687</x:v>
      </x:c>
      <x:c r="J49" s="18" t="str">
        <x:v>6203687</x:v>
      </x:c>
      <x:c r="K49" s="18" t="str">
        <x:v>src/modules/identity/passkeys.ts, src/server.ts</x:v>
      </x:c>
      <x:c r="L49" s="18" t="str">
        <x:v>register-verify needs only requireAuth. If supplied publicKey begins -----BEGIN, it bypasses parseAttestationObject, credential ID/RP checks and simply persists the supplied PEM after checks against caller-supplied clientDataJSON.</x:v>
      </x:c>
      <x:c r="M49" s="18" t="str">
        <x:v>Anyone holding an authenticated user session may add an arbitrary public key they control to enable durable passwordless sign-in, without a verified authentic WebAuthn registration ceremony or fresh reauthentication.</x:v>
      </x:c>
      <x:c r="N49" s="18" t="str">
        <x:v>For browser registration, require clientDataJSON, attestation/authenticatorData, challenge/origin/RP/credential ID and required flags using a vetted WebAuthn server library; remove arbitrary PEM import from public endpoint. Require recent MFA/step-up for credential enrollment and removal, notify account owner.</x:v>
      </x:c>
      <x:c r="O49" s="18" t="str">
        <x:v>Forged PEM-only registrations rejected; valid platform/passkey registrations accepted; stolen-cookie-only enrollment without fresh step-up denied.</x:v>
      </x:c>
      <x:c r="P49" s="18" t="str">
        <x:v>FORTLESS_AUDIT_DELTA_2_6203687.md</x:v>
      </x:c>
      <x:c r="Q49" s="18" t="str">
        <x:v>https://github.com/trencito42/fortless/blob/620368742f1df3fd36778dc1e4e567e404cb021b/src/modules/identity/passkeys.ts</x:v>
      </x:c>
      <x:c r="R49" s="18" t="str">
        <x:v>Coding AI</x:v>
      </x:c>
      <x:c r="S49" s="18" t="str"/>
    </x:row>
    <x:row r="50" ht="66" customHeight="1">
      <x:c r="A50" s="18" t="str">
        <x:v>NEW-307</x:v>
      </x:c>
      <x:c r="B50" s="18" t="str">
        <x:v>P1</x:v>
      </x:c>
      <x:c r="C50" s="18" t="str">
        <x:v>REVIEW</x:v>
      </x:c>
      <x:c r="D50" s="18" t="str">
        <x:v>New review</x:v>
      </x:c>
      <x:c r="E50" s="18" t="str">
        <x:v>Passwordless passkey sign-in does not require the user-verification flag</x:v>
      </x:c>
      <x:c r="F50" s="18" t="str">
        <x:v>POLICY_DECISION</x:v>
      </x:c>
      <x:c r="G50" s="18" t="str">
        <x:v>2026-10-19</x:v>
      </x:c>
      <x:c r="H50" s="18" t="str">
        <x:v>2026-10-19</x:v>
      </x:c>
      <x:c r="I50" s="18" t="str">
        <x:v>6203687</x:v>
      </x:c>
      <x:c r="J50" s="18" t="str">
        <x:v>6203687</x:v>
      </x:c>
      <x:c r="K50" s="18" t="str">
        <x:v>src/modules/identity/webauthn.ts, src/server.ts, src/modules/identity/passkeys.ts</x:v>
      </x:c>
      <x:c r="L50" s="18" t="str">
        <x:v>Login challenge uses userVerification: 'preferred'. Assertion verification checks FLAG_UP but not FLAG_UV and creates a full mfaVerified=true session.</x:v>
      </x:c>
      <x:c r="M50" s="18" t="str">
        <x:v>UP-only authenticators without PIN/biometric user verification can receive the same session assurance level as a verified MFA passkey. This is an assurance mismatch if Fortless requires UV for passwordless access.</x:v>
      </x:c>
      <x:c r="N50" s="18" t="str">
        <x:v>For passwordless verified sessions, require userVerification:'required' plus FLAG_UV, or explicitly separate authentication assurance levels. Do not trust clientCounter supplied by request over signed authenticatorData value.</x:v>
      </x:c>
      <x:c r="O50" s="18" t="str">
        <x:v>UP-only assertion rejected for high-assurance login; UV assertion succeeds; signed counter rollback is tested.</x:v>
      </x:c>
      <x:c r="P50" s="18" t="str">
        <x:v>FORTLESS_AUDIT_DELTA_2_6203687.md</x:v>
      </x:c>
      <x:c r="Q50" s="18" t="str">
        <x:v>https://github.com/trencito42/fortless/blob/620368742f1df3fd36778dc1e4e567e404cb021b/src/modules/identity/webauthn.ts</x:v>
      </x:c>
      <x:c r="R50" s="18" t="str">
        <x:v>Coding AI</x:v>
      </x:c>
      <x:c r="S50" s="18" t="str">
        <x:v>UV required depends on high-assurance passkey policy</x:v>
      </x:c>
    </x:row>
    <x:row r="51" ht="66" customHeight="1">
      <x:c r="A51" s="18" t="str">
        <x:v>NEW-308</x:v>
      </x:c>
      <x:c r="B51" s="18" t="str">
        <x:v>P1</x:v>
      </x:c>
      <x:c r="C51" s="18" t="str">
        <x:v>HIGH</x:v>
      </x:c>
      <x:c r="D51" s="18" t="str">
        <x:v>New review</x:v>
      </x:c>
      <x:c r="E51" s="18" t="str">
        <x:v>Restore overwrites destination DB before verifying integrity</x:v>
      </x:c>
      <x:c r="F51" s="18" t="str">
        <x:v>OPEN</x:v>
      </x:c>
      <x:c r="G51" s="18" t="str">
        <x:v>2026-10-19</x:v>
      </x:c>
      <x:c r="H51" s="18" t="str">
        <x:v>2026-10-19</x:v>
      </x:c>
      <x:c r="I51" s="18" t="str">
        <x:v>6203687</x:v>
      </x:c>
      <x:c r="J51" s="18" t="str">
        <x:v>6203687</x:v>
      </x:c>
      <x:c r="K51" s="18" t="str">
        <x:v>src/modules/backup/backup.ts</x:v>
      </x:c>
      <x:c r="L51" s="18" t="str">
        <x:v>Raw bytes are written and renamed into targetDbPath at L180-182, THEN PRAGMA integrity_check and PRAGMA foreign_key_check run. Failure occurs after target was replaced. SHA-256 enforcement is optional through expectedSha256.</x:v>
      </x:c>
      <x:c r="M51" s="18" t="str">
        <x:v>Corrupt backup can replace the production DB before detection. In-place restore while active DB handles are open has unexamined durability/concurrency behavior.</x:v>
      </x:c>
      <x:c r="N51" s="18" t="str">
        <x:v>Validate in isolated temporary database, check integrity, foreign keys and schema/migration compatibility, then atomically swap during controlled maintenance with durable rollback copy. Reject missing authenticity/checksum metadata based on production policy.</x:v>
      </x:c>
      <x:c r="O51" s="18" t="str">
        <x:v>Corrupt or FK-inconsistent backup cannot alter live DB; previous DB retained; restore + restart + rollback drill tested.</x:v>
      </x:c>
      <x:c r="P51" s="18" t="str">
        <x:v>FORTLESS_AUDIT_DELTA_2_6203687.md</x:v>
      </x:c>
      <x:c r="Q51" s="18" t="str">
        <x:v>https://github.com/trencito42/fortless/blob/620368742f1df3fd36778dc1e4e567e404cb021b/src/modules/backup/backup.ts</x:v>
      </x:c>
      <x:c r="R51" s="18" t="str">
        <x:v>Coding AI</x:v>
      </x:c>
      <x:c r="S51" s="18" t="str"/>
    </x:row>
    <x:row r="52" ht="66" customHeight="1">
      <x:c r="A52" s="18" t="str">
        <x:v>NEW-309</x:v>
      </x:c>
      <x:c r="B52" s="18" t="str">
        <x:v>P1</x:v>
      </x:c>
      <x:c r="C52" s="18" t="str">
        <x:v>MEDIUM</x:v>
      </x:c>
      <x:c r="D52" s="18" t="str">
        <x:v>New review</x:v>
      </x:c>
      <x:c r="E52" s="18" t="str">
        <x:v>Foreign key violations do not fail backup restore</x:v>
      </x:c>
      <x:c r="F52" s="18" t="str">
        <x:v>OPEN</x:v>
      </x:c>
      <x:c r="G52" s="18" t="str">
        <x:v>2026-10-19</x:v>
      </x:c>
      <x:c r="H52" s="18" t="str">
        <x:v>2026-10-19</x:v>
      </x:c>
      <x:c r="I52" s="18" t="str">
        <x:v>6203687</x:v>
      </x:c>
      <x:c r="J52" s="18" t="str">
        <x:v>6203687</x:v>
      </x:c>
      <x:c r="K52" s="18" t="str">
        <x:v>src/modules/backup/backup.ts</x:v>
      </x:c>
      <x:c r="L52" s="18" t="str">
        <x:v>foreign_key_check row count is stored in fkViolations, but success is returned whenever integrityResult === 'ok', even if fkViolations &gt; 0.</x:v>
      </x:c>
      <x:c r="M52" s="18" t="str">
        <x:v>Can report success:true while referential integrity is broken.</x:v>
      </x:c>
      <x:c r="N52" s="18" t="str">
        <x:v>Fail validation on nonzero FK violations before swapping production DB; include detailed violations in operator-only report.</x:v>
      </x:c>
      <x:c r="O52" s="18" t="str">
        <x:v>Synthetic orphan rows cause restore refusal and leave destination unchanged.</x:v>
      </x:c>
      <x:c r="P52" s="18" t="str">
        <x:v>FORTLESS_AUDIT_DELTA_2_6203687.md</x:v>
      </x:c>
      <x:c r="Q52" s="18" t="str">
        <x:v>https://github.com/trencito42/fortless/blob/620368742f1df3fd36778dc1e4e567e404cb021b/src/modules/backup/backup.ts</x:v>
      </x:c>
      <x:c r="R52" s="18" t="str">
        <x:v>Coding AI</x:v>
      </x:c>
      <x:c r="S52" s="18" t="str"/>
    </x:row>
    <x:row r="53" ht="66" customHeight="1">
      <x:c r="A53" s="18" t="str">
        <x:v>NEW-310</x:v>
      </x:c>
      <x:c r="B53" s="18" t="str">
        <x:v>P1</x:v>
      </x:c>
      <x:c r="C53" s="18" t="str">
        <x:v>MEDIUM</x:v>
      </x:c>
      <x:c r="D53" s="18" t="str">
        <x:v>New review</x:v>
      </x:c>
      <x:c r="E53" s="18" t="str">
        <x:v>Ticket attachment messageId is not bound to the addressed ticket</x:v>
      </x:c>
      <x:c r="F53" s="18" t="str">
        <x:v>OPEN</x:v>
      </x:c>
      <x:c r="G53" s="18" t="str">
        <x:v>2026-10-19</x:v>
      </x:c>
      <x:c r="H53" s="18" t="str">
        <x:v>2026-10-19</x:v>
      </x:c>
      <x:c r="I53" s="18" t="str">
        <x:v>6203687</x:v>
      </x:c>
      <x:c r="J53" s="18" t="str">
        <x:v>6203687</x:v>
      </x:c>
      <x:c r="K53" s="18" t="str">
        <x:v>src/modules/support/tickets.ts, src/database/schema.ts, src/server.ts</x:v>
      </x:c>
      <x:c r="L53" s="18" t="str">
        <x:v>Attachment insertion validates ticket ownership, then stores a supplied message_id without checking that the message belongs to ticket_id. SQLite foreign key checks only existence of message_id independently.</x:v>
      </x:c>
      <x:c r="M53" s="18" t="str">
        <x:v>Cross-ticket association and inconsistent attachment disclosure; a user with a known valid message ID could link an attachment under a different ticket.</x:v>
      </x:c>
      <x:c r="N53" s="18" t="str">
        <x:v>Validate SELECT 1 FROM ticket_messages WHERE id=? AND ticket_id=? before insert. Better: use a compound (ticket_id,message_id) reference or enforce by application transaction.</x:v>
      </x:c>
      <x:c r="O53" s="18" t="str">
        <x:v>Same-ticket messages accepted; other-ticket and other-tenant message IDs always rejected.</x:v>
      </x:c>
      <x:c r="P53" s="18" t="str">
        <x:v>FORTLESS_AUDIT_DELTA_2_6203687.md</x:v>
      </x:c>
      <x:c r="Q53" s="18" t="str">
        <x:v>https://github.com/trencito42/fortless/blob/620368742f1df3fd36778dc1e4e567e404cb021b/src/modules/support/tickets.ts</x:v>
      </x:c>
      <x:c r="R53" s="18" t="str">
        <x:v>Coding AI</x:v>
      </x:c>
      <x:c r="S53" s="18" t="str"/>
    </x:row>
    <x:row r="54" ht="66" customHeight="1">
      <x:c r="A54" s="18" t="str">
        <x:v>NEW-311</x:v>
      </x:c>
      <x:c r="B54" s="18" t="str">
        <x:v>P1</x:v>
      </x:c>
      <x:c r="C54" s="18" t="str">
        <x:v>MEDIUM</x:v>
      </x:c>
      <x:c r="D54" s="18" t="str">
        <x:v>New review</x:v>
      </x:c>
      <x:c r="E54" s="18" t="str">
        <x:v>Client APIs expose internal attachment disk paths</x:v>
      </x:c>
      <x:c r="F54" s="18" t="str">
        <x:v>OPEN</x:v>
      </x:c>
      <x:c r="G54" s="18" t="str">
        <x:v>2026-10-19</x:v>
      </x:c>
      <x:c r="H54" s="18" t="str">
        <x:v>2026-10-19</x:v>
      </x:c>
      <x:c r="I54" s="18" t="str">
        <x:v>6203687</x:v>
      </x:c>
      <x:c r="J54" s="18" t="str">
        <x:v>6203687</x:v>
      </x:c>
      <x:c r="K54" s="18" t="str">
        <x:v>src/modules/support/tickets.ts, src/server.ts</x:v>
      </x:c>
      <x:c r="L54" s="18" t="str">
        <x:v>addTicketAttachment returns SELECT including storage_path, listTicketAttachments selects ta.storage_path; customer endpoints return the records without DTO redaction.</x:v>
      </x:c>
      <x:c r="M54" s="18" t="str">
        <x:v>Client learns server absolute data directory paths. Not direct file read, but unnecessary infrastructure disclosure.</x:v>
      </x:c>
      <x:c r="N54" s="18" t="str">
        <x:v>Return explicit response DTO excluding storage_path, hashes/internal metadata if not needed, staff-only fields as appropriate.</x:v>
      </x:c>
      <x:c r="O54" s="18" t="str">
        <x:v>Customer create/list responses never contain absolute host paths.</x:v>
      </x:c>
      <x:c r="P54" s="18" t="str">
        <x:v>FORTLESS_AUDIT_DELTA_2_6203687.md</x:v>
      </x:c>
      <x:c r="Q54" s="18" t="str">
        <x:v>https://github.com/trencito42/fortless/blob/620368742f1df3fd36778dc1e4e567e404cb021b/src/modules/support/tickets.ts</x:v>
      </x:c>
      <x:c r="R54" s="18" t="str">
        <x:v>Coding AI</x:v>
      </x:c>
      <x:c r="S54" s="18" t="str"/>
    </x:row>
    <x:row r="55" ht="66" customHeight="1">
      <x:c r="A55" s="18" t="str">
        <x:v>NEW-312</x:v>
      </x:c>
      <x:c r="B55" s="18" t="str">
        <x:v>P1</x:v>
      </x:c>
      <x:c r="C55" s="18" t="str">
        <x:v>MEDIUM</x:v>
      </x:c>
      <x:c r="D55" s="18" t="str">
        <x:v>New review</x:v>
      </x:c>
      <x:c r="E55" s="18" t="str">
        <x:v>Public pages vary by authentication but are marked public-cacheable</x:v>
      </x:c>
      <x:c r="F55" s="18" t="str">
        <x:v>NEEDS_VERIFICATION</x:v>
      </x:c>
      <x:c r="G55" s="18" t="str">
        <x:v>2026-10-19</x:v>
      </x:c>
      <x:c r="H55" s="18" t="str">
        <x:v>2026-10-19</x:v>
      </x:c>
      <x:c r="I55" s="18" t="str">
        <x:v>6203687</x:v>
      </x:c>
      <x:c r="J55" s="18" t="str">
        <x:v>6203687</x:v>
      </x:c>
      <x:c r="K55" s="18" t="str">
        <x:v>src/server.ts</x:v>
      </x:c>
      <x:c r="L55" s="18" t="str">
        <x:v>/status and /legal/:doc substitute __AUTH_STATE__ based on req.auth while sending Cache-Control: public, max-age=30/60.</x:v>
      </x:c>
      <x:c r="M55" s="18" t="str">
        <x:v>Shared caches can serve a visitor the wrong signed-in/signed-out navigation state; not a claim of secret/session leakage.</x:v>
      </x:c>
      <x:c r="N55" s="18" t="str">
        <x:v>Make HTML response invariant to user auth and fetch auth UI state privately on client, or mark personalized pages private, no-store; preserve public caching for genuinely identical content.</x:v>
      </x:c>
      <x:c r="O55" s="18" t="str">
        <x:v>Anonymous and authenticated sessions behind CDN never receive cross-user navigation state.</x:v>
      </x:c>
      <x:c r="P55" s="18" t="str">
        <x:v>FORTLESS_AUDIT_DELTA_2_6203687.md</x:v>
      </x:c>
      <x:c r="Q55" s="18" t="str">
        <x:v>https://github.com/trencito42/fortless/blob/620368742f1df3fd36778dc1e4e567e404cb021b/src/server.ts</x:v>
      </x:c>
      <x:c r="R55" s="18" t="str">
        <x:v>Coding AI</x:v>
      </x:c>
      <x:c r="S55" s="18" t="str">
        <x:v>Deployment cache or filesystem permissions change real impact</x:v>
      </x:c>
    </x:row>
    <x:row r="56" ht="66" customHeight="1">
      <x:c r="A56" s="18" t="str">
        <x:v>NEW-313</x:v>
      </x:c>
      <x:c r="B56" s="18" t="str">
        <x:v>P1</x:v>
      </x:c>
      <x:c r="C56" s="18" t="str">
        <x:v>MEDIUM</x:v>
      </x:c>
      <x:c r="D56" s="18" t="str">
        <x:v>New review</x:v>
      </x:c>
      <x:c r="E56" s="18" t="str">
        <x:v>Backup creation can persist an unencrypted production snapshot by default</x:v>
      </x:c>
      <x:c r="F56" s="18" t="str">
        <x:v>NEEDS_VERIFICATION</x:v>
      </x:c>
      <x:c r="G56" s="18" t="str">
        <x:v>2026-10-19</x:v>
      </x:c>
      <x:c r="H56" s="18" t="str">
        <x:v>2026-10-19</x:v>
      </x:c>
      <x:c r="I56" s="18" t="str">
        <x:v>6203687</x:v>
      </x:c>
      <x:c r="J56" s="18" t="str">
        <x:v>6203687</x:v>
      </x:c>
      <x:c r="K56" s="18" t="str">
        <x:v>src/modules/backup/backup.ts</x:v>
      </x:c>
      <x:c r="L56" s="18" t="str">
        <x:v>encryptionKey optional and absent -&gt; .db plaintext snapshot; no explicit restrictive final backup file mode / chmod call. Metadata includes source database path.</x:v>
      </x:c>
      <x:c r="M56" s="18" t="str">
        <x:v>Backups can contain password hashes, customer addresses, email tokens/metadata, panel keys and payment records in plaintext on filesystem accessible to users with backup directory access.</x:v>
      </x:c>
      <x:c r="N56" s="18" t="str">
        <x:v>Require encryption for production backups; minimal OS ACLs, key management and rotation, metadata minimization, offsite copies and verified retention/deletion.</x:v>
      </x:c>
      <x:c r="O56" s="18" t="str">
        <x:v>Production backup fails closed without configured encryption key; files mode 0600 under dedicated service user; restore encrypted copy works.</x:v>
      </x:c>
      <x:c r="P56" s="18" t="str">
        <x:v>FORTLESS_AUDIT_DELTA_2_6203687.md</x:v>
      </x:c>
      <x:c r="Q56" s="18" t="str">
        <x:v>https://github.com/trencito42/fortless/blob/620368742f1df3fd36778dc1e4e567e404cb021b/src/modules/backup/backup.ts</x:v>
      </x:c>
      <x:c r="R56" s="18" t="str">
        <x:v>Coding AI</x:v>
      </x:c>
      <x:c r="S56" s="18" t="str">
        <x:v>Deployment cache or filesystem permissions change real impact</x:v>
      </x:c>
    </x:row>
    <x:row r="57" ht="66" customHeight="1">
      <x:c r="A57" s="18" t="str">
        <x:v>SSO-01</x:v>
      </x:c>
      <x:c r="B57" s="18" t="str">
        <x:v>P0</x:v>
      </x:c>
      <x:c r="C57" s="18" t="str">
        <x:v>HIGH</x:v>
      </x:c>
      <x:c r="D57" s="18" t="str">
        <x:v>Pterodactyl SSO</x:v>
      </x:c>
      <x:c r="E57" s="18" t="str">
        <x:v>Panel native password recovery can bypass Fortless SSO-only login</x:v>
      </x:c>
      <x:c r="F57" s="18" t="str">
        <x:v>OPEN</x:v>
      </x:c>
      <x:c r="G57" s="18" t="str">
        <x:v>2026-10-19</x:v>
      </x:c>
      <x:c r="H57" s="18" t="str">
        <x:v>2026-10-19</x:v>
      </x:c>
      <x:c r="I57" s="18" t="str">
        <x:v>9dacfcb</x:v>
      </x:c>
      <x:c r="J57" s="18" t="str">
        <x:v>6203687</x:v>
      </x:c>
      <x:c r="K57" s="18" t="str">
        <x:v>panel-sso/INSTALL.md</x:v>
      </x:c>
      <x:c r="L57" s="18" t="str">
        <x:v>Panel guide admits password-reset can create native credentials for SSO-created identities</x:v>
      </x:c>
      <x:c r="M57" s="18" t="str">
        <x:v>Weakens identity or centralized security policy</x:v>
      </x:c>
      <x:c r="N57" s="18" t="str">
        <x:v>Disable managed customer native panel recovery/login or enforce equivalent MFA; retain break-glass admin</x:v>
      </x:c>
      <x:c r="O57" s="18" t="str">
        <x:v>Verified against real Pterodactyl panel</x:v>
      </x:c>
      <x:c r="P57" s="18" t="str">
        <x:v>FORTLESS_AUDIT_2026-10-19.md</x:v>
      </x:c>
      <x:c r="Q57" s="18" t="str">
        <x:v>https://github.com/trencito42/fortless/blob/9dacfcb70de10496e1740151f39090ad5a046f4a/panel-sso/INSTALL.md</x:v>
      </x:c>
      <x:c r="R57" s="18" t="str">
        <x:v>Coding AI</x:v>
      </x:c>
      <x:c r="S57" s="18" t="str">
        <x:v>Conditional on SSO-only intended design</x:v>
      </x:c>
    </x:row>
    <x:row r="58" ht="66" customHeight="1">
      <x:c r="A58" s="18" t="str">
        <x:v>SSO-02</x:v>
      </x:c>
      <x:c r="B58" s="18" t="str">
        <x:v>P1</x:v>
      </x:c>
      <x:c r="C58" s="18" t="str">
        <x:v>HIGH</x:v>
      </x:c>
      <x:c r="D58" s="18" t="str">
        <x:v>Pterodactyl SSO</x:v>
      </x:c>
      <x:c r="E58" s="18" t="str">
        <x:v>Revoking Fortless sessions does not demonstrably revoke Pterodactyl browser sessions</x:v>
      </x:c>
      <x:c r="F58" s="18" t="str">
        <x:v>NEEDS_VERIFICATION</x:v>
      </x:c>
      <x:c r="G58" s="18" t="str">
        <x:v>2026-10-19</x:v>
      </x:c>
      <x:c r="H58" s="18" t="str">
        <x:v>2026-10-19</x:v>
      </x:c>
      <x:c r="I58" s="18" t="str">
        <x:v>9dacfcb</x:v>
      </x:c>
      <x:c r="J58" s="18" t="str">
        <x:v>6203687</x:v>
      </x:c>
      <x:c r="K58" s="18" t="str">
        <x:v>panel-sso/FortlessSsoController.php</x:v>
      </x:c>
      <x:c r="L58" s="18" t="str">
        <x:v>SSO login uses remember=true; no Fortless -&gt; Laravel session revocation shown</x:v>
      </x:c>
      <x:c r="M58" s="18" t="str">
        <x:v>Weakens identity or centralized security policy</x:v>
      </x:c>
      <x:c r="N58" s="18" t="str">
        <x:v>Integrate session revocation or restrict panel sessions; verify logout, password reset, fraud lockout</x:v>
      </x:c>
      <x:c r="O58" s="18" t="str">
        <x:v>Verified against real Pterodactyl panel</x:v>
      </x:c>
      <x:c r="P58" s="18" t="str">
        <x:v>FORTLESS_AUDIT_2026-10-19.md</x:v>
      </x:c>
      <x:c r="Q58" s="18" t="str">
        <x:v>https://github.com/trencito42/fortless/blob/9dacfcb70de10496e1740151f39090ad5a046f4a/panel-sso/FortlessSsoController.php</x:v>
      </x:c>
      <x:c r="R58" s="18" t="str">
        <x:v>Coding AI</x:v>
      </x:c>
      <x:c r="S58" s="18" t="str">
        <x:v>Requires real panel test</x:v>
      </x:c>
    </x:row>
    <x:row r="59" ht="66" customHeight="1">
      <x:c r="A59" s="18" t="str">
        <x:v>SSO-03</x:v>
      </x:c>
      <x:c r="B59" s="18" t="str">
        <x:v>P1</x:v>
      </x:c>
      <x:c r="C59" s="18" t="str">
        <x:v>REVIEW</x:v>
      </x:c>
      <x:c r="D59" s="18" t="str">
        <x:v>Pterodactyl SSO</x:v>
      </x:c>
      <x:c r="E59" s="18" t="str">
        <x:v>Panel SSO assurance policy does not enforce MFA uniformly</x:v>
      </x:c>
      <x:c r="F59" s="18" t="str">
        <x:v>POLICY_DECISION</x:v>
      </x:c>
      <x:c r="G59" s="18" t="str">
        <x:v>2026-10-19</x:v>
      </x:c>
      <x:c r="H59" s="18" t="str">
        <x:v>2026-10-19</x:v>
      </x:c>
      <x:c r="I59" s="18" t="str">
        <x:v>9dacfcb</x:v>
      </x:c>
      <x:c r="J59" s="18" t="str">
        <x:v>6203687</x:v>
      </x:c>
      <x:c r="K59" s="18" t="str">
        <x:v>src/modules/oidc/routes.ts</x:v>
      </x:c>
      <x:c r="L59" s="18" t="str">
        <x:v>Authorization route permits accounts with no TOTP enrolled when otherwise authorized</x:v>
      </x:c>
      <x:c r="M59" s="18" t="str">
        <x:v>Weakens identity or centralized security policy</x:v>
      </x:c>
      <x:c r="N59" s="18" t="str">
        <x:v>Decide mandatory MFA policy then require appropriate AAL before authorizing panel</x:v>
      </x:c>
      <x:c r="O59" s="18" t="str">
        <x:v>Verified against real Pterodactyl panel</x:v>
      </x:c>
      <x:c r="P59" s="18" t="str">
        <x:v>FORTLESS_AUDIT_2026-10-19.md</x:v>
      </x:c>
      <x:c r="Q59" s="18" t="str">
        <x:v>https://github.com/trencito42/fortless/blob/9dacfcb70de10496e1740151f39090ad5a046f4a/src/modules/oidc/routes.ts</x:v>
      </x:c>
      <x:c r="R59" s="18" t="str">
        <x:v>Coding AI</x:v>
      </x:c>
      <x:c r="S59" s="18" t="str">
        <x:v>If panel requires MFA for every customer</x:v>
      </x:c>
    </x:row>
    <x:row r="60" ht="66" customHeight="1">
      <x:c r="A60" s="18" t="str">
        <x:v>MAIL-01</x:v>
      </x:c>
      <x:c r="B60" s="18" t="str">
        <x:v>P1</x:v>
      </x:c>
      <x:c r="C60" s="18" t="str">
        <x:v>MEDIUM</x:v>
      </x:c>
      <x:c r="D60" s="18" t="str">
        <x:v>Mail / UI</x:v>
      </x:c>
      <x:c r="E60" s="18" t="str">
        <x:v>Mail rendering replaces sample copy, not semantic placeholders</x:v>
      </x:c>
      <x:c r="F60" s="18" t="str">
        <x:v>OPEN</x:v>
      </x:c>
      <x:c r="G60" s="18" t="str">
        <x:v>2026-10-19</x:v>
      </x:c>
      <x:c r="H60" s="18" t="str">
        <x:v>2026-10-19</x:v>
      </x:c>
      <x:c r="I60" s="18" t="str">
        <x:v>9dacfcb</x:v>
      </x:c>
      <x:c r="J60" s="18" t="str">
        <x:v>6203687</x:v>
      </x:c>
      <x:c r="K60" s="18" t="str">
        <x:v>src/modules/email/outbox.ts</x:v>
      </x:c>
      <x:c r="L60" s="18" t="str">
        <x:v>Email templates render by sample string matching</x:v>
      </x:c>
      <x:c r="M60" s="18" t="str">
        <x:v>Changing sample copy can silently leave wrong personal data or values</x:v>
      </x:c>
      <x:c r="N60" s="18" t="str">
        <x:v>Use escaped named variables, snapshot compare all 14 templates, email client checks</x:v>
      </x:c>
      <x:c r="O60" s="18" t="str">
        <x:v>Mail UI comparison tests</x:v>
      </x:c>
      <x:c r="P60" s="18" t="str">
        <x:v>FORTLESS_AUDIT_2026-10-19.md</x:v>
      </x:c>
      <x:c r="Q60" s="18" t="str">
        <x:v>https://github.com/trencito42/fortless/blob/620368742f1df3fd36778dc1e4e567e404cb021b/src/modules/email/outbox.ts</x:v>
      </x:c>
      <x:c r="R60" s="18" t="str">
        <x:v>Coding AI</x:v>
      </x:c>
      <x:c r="S60" s="18" t="str">
        <x:v>Original initial audit</x:v>
      </x:c>
    </x:row>
    <x:row r="61" ht="66" customHeight="1">
      <x:c r="A61" s="18" t="str">
        <x:v>UI-08</x:v>
      </x:c>
      <x:c r="B61" s="18" t="str">
        <x:v>P1</x:v>
      </x:c>
      <x:c r="C61" s="18" t="str">
        <x:v>MEDIUM</x:v>
      </x:c>
      <x:c r="D61" s="18" t="str">
        <x:v>UI / UX</x:v>
      </x:c>
      <x:c r="E61" s="18" t="str">
        <x:v>Manage action was displayed on terminated service cards</x:v>
      </x:c>
      <x:c r="F61" s="18" t="str">
        <x:v>FIXED_IN_CODE</x:v>
      </x:c>
      <x:c r="G61" s="18" t="str">
        <x:v>2026-10-19</x:v>
      </x:c>
      <x:c r="H61" s="18" t="str">
        <x:v>2026-10-19</x:v>
      </x:c>
      <x:c r="I61" s="18" t="str">
        <x:v>9dacfcb</x:v>
      </x:c>
      <x:c r="J61" s="18" t="str">
        <x:v>6203687</x:v>
      </x:c>
      <x:c r="K61" s="18" t="str">
        <x:v>src/frontend/client/pages/dashboard/index.ts</x:v>
      </x:c>
      <x:c r="L61" s="18" t="str">
        <x:v>After 6203687, Manage link rendered only if !isTerminated(svc)</x:v>
      </x:c>
      <x:c r="M61" s="18" t="str">
        <x:v>Invalid action affordance</x:v>
      </x:c>
      <x:c r="N61" s="18" t="str">
        <x:v>Keep canonical status-driven action gating on all views</x:v>
      </x:c>
      <x:c r="O61" s="18" t="str">
        <x:v>Automated terminated service UI acceptance test</x:v>
      </x:c>
      <x:c r="P61" s="18" t="str">
        <x:v>FORTLESS_AUDIT_2026-10-19.md</x:v>
      </x:c>
      <x:c r="Q61" s="18" t="str">
        <x:v>https://github.com/trencito42/fortless/blob/620368742f1df3fd36778dc1e4e567e404cb021b/src/frontend/client/pages/dashboard/index.ts</x:v>
      </x:c>
      <x:c r="R61" s="18" t="str">
        <x:v>Coding AI</x:v>
      </x:c>
      <x:c r="S61" s="18" t="str">
        <x:v>Post-push source verified</x:v>
      </x:c>
    </x:row>
    <x:row r="62" ht="66" customHeight="1">
      <x:c r="A62" s="18" t="str">
        <x:v>NEW-314</x:v>
      </x:c>
      <x:c r="B62" s="18" t="str">
        <x:v>P1</x:v>
      </x:c>
      <x:c r="C62" s="18" t="str">
        <x:v>HIGH</x:v>
      </x:c>
      <x:c r="D62" s="18" t="str">
        <x:v>Security / Installers</x:v>
      </x:c>
      <x:c r="E62" s="18" t="str">
        <x:v>Modrinth download redirects execute before destination allowlist is rechecked</x:v>
      </x:c>
      <x:c r="F62" s="18" t="str">
        <x:v>NEEDS_VERIFICATION</x:v>
      </x:c>
      <x:c r="G62" s="18" t="str">
        <x:v>2026-10-19</x:v>
      </x:c>
      <x:c r="H62" s="18" t="str">
        <x:v>2026-10-19</x:v>
      </x:c>
      <x:c r="I62" s="18" t="str">
        <x:v>6203687</x:v>
      </x:c>
      <x:c r="J62" s="18" t="str">
        <x:v>6203687</x:v>
      </x:c>
      <x:c r="K62" s="18" t="str">
        <x:v>src/modules/provisioning/game-tools.ts</x:v>
      </x:c>
      <x:c r="L62" s="18" t="str">
        <x:v>Initial host restricted, but fetch uses redirect: follow; final response URL is checked only after network requests</x:v>
      </x:c>
      <x:c r="M62" s="18" t="str">
        <x:v>Potential SSRF if allowed download endpoint redirects to private target</x:v>
      </x:c>
      <x:c r="N62" s="18" t="str">
        <x:v>Block redirects or manually validate each hop pre-connect, reject private IPs and DNS rebinding; check allowed source hosts</x:v>
      </x:c>
      <x:c r="O62" s="18" t="str">
        <x:v>Fixture: external host -&gt; private metadata endpoint rejected without request</x:v>
      </x:c>
      <x:c r="P62" s="18" t="str">
        <x:v>Latest static code audit</x:v>
      </x:c>
      <x:c r="Q62" s="18" t="str">
        <x:v>https://github.com/trencito42/fortless/blob/620368742f1df3fd36778dc1e4e567e404cb021b/src/modules/provisioning/game-tools.ts</x:v>
      </x:c>
      <x:c r="R62" s="18" t="str">
        <x:v>Coding AI</x:v>
      </x:c>
      <x:c r="S62" s="18" t="str">
        <x:v>New static analysis; conditional external redirect control</x:v>
      </x:c>
    </x:row>
    <x:row r="63" ht="66" customHeight="1">
      <x:c r="A63" s="18" t="str">
        <x:v>NEW-315</x:v>
      </x:c>
      <x:c r="B63" s="18" t="str">
        <x:v>P0</x:v>
      </x:c>
      <x:c r="C63" s="18" t="str">
        <x:v>HIGH</x:v>
      </x:c>
      <x:c r="D63" s="18" t="str">
        <x:v>Billing / Checkout</x:v>
      </x:c>
      <x:c r="E63" s="18" t="str">
        <x:v>Quote per-line region and interval not persisted into order items</x:v>
      </x:c>
      <x:c r="F63" s="18" t="str">
        <x:v>OPEN</x:v>
      </x:c>
      <x:c r="G63" s="18" t="str">
        <x:v>2026-10-19</x:v>
      </x:c>
      <x:c r="H63" s="18" t="str">
        <x:v>2026-10-19</x:v>
      </x:c>
      <x:c r="I63" s="18" t="str">
        <x:v>6203687</x:v>
      </x:c>
      <x:c r="J63" s="18" t="str">
        <x:v>6203687</x:v>
      </x:c>
      <x:c r="K63" s="18" t="str">
        <x:v>src/modules/pricing/quote.ts, src/modules/checkout/checkout.ts, src/database/schema.ts</x:v>
      </x:c>
      <x:c r="L63" s="18" t="str">
        <x:v>Quote lines contain interval and optional regionId; persisted quote_lines and checkout order_items use one checkout-wide regionId/customOptions</x:v>
      </x:c>
      <x:c r="M63" s="18" t="str">
        <x:v>Multi-region/mixed-term cart silently changes what customer receives</x:v>
      </x:c>
      <x:c r="N63" s="18" t="str">
        <x:v>Persist immutable line-specific region, interval and per-instance options; validate provider and capacity per line</x:v>
      </x:c>
      <x:c r="O63" s="18" t="str">
        <x:v>Two plans different regions+intervals result in matching entitlements and billing</x:v>
      </x:c>
      <x:c r="P63" s="18" t="str">
        <x:v>Latest static code audit</x:v>
      </x:c>
      <x:c r="Q63" s="18" t="str">
        <x:v>https://github.com/trencito42/fortless/blob/620368742f1df3fd36778dc1e4e567e404cb021b/src/modules/pricing/quote.ts</x:v>
      </x:c>
      <x:c r="R63" s="18" t="str">
        <x:v>Coding AI</x:v>
      </x:c>
      <x:c r="S63" s="18" t="str">
        <x:v>New static analysis</x:v>
      </x:c>
    </x:row>
    <x:row r="64" ht="66" customHeight="1">
      <x:c r="A64" s="18" t="str">
        <x:v>NEW-316</x:v>
      </x:c>
      <x:c r="B64" s="18" t="str">
        <x:v>P1</x:v>
      </x:c>
      <x:c r="C64" s="18" t="str">
        <x:v>HIGH</x:v>
      </x:c>
      <x:c r="D64" s="18" t="str">
        <x:v>Billing / Invoices</x:v>
      </x:c>
      <x:c r="E64" s="18" t="str">
        <x:v>Discounted quote invoice_lines remain undiscounted while invoice total is discounted</x:v>
      </x:c>
      <x:c r="F64" s="18" t="str">
        <x:v>OPEN</x:v>
      </x:c>
      <x:c r="G64" s="18" t="str">
        <x:v>2026-10-19</x:v>
      </x:c>
      <x:c r="H64" s="18" t="str">
        <x:v>2026-10-19</x:v>
      </x:c>
      <x:c r="I64" s="18" t="str">
        <x:v>6203687</x:v>
      </x:c>
      <x:c r="J64" s="18" t="str">
        <x:v>6203687</x:v>
      </x:c>
      <x:c r="K64" s="18" t="str">
        <x:v>src/modules/pricing/quote.ts, src/modules/checkout/checkout.ts</x:v>
      </x:c>
      <x:c r="L64" s="18" t="str">
        <x:v>Invoice lines use line.totalMinorUnits pre-discount; invoice total uses coupon-discounted quote total</x:v>
      </x:c>
      <x:c r="M64" s="18" t="str">
        <x:v>Incorrect customer/fiscal invoice line reconciliation for coupon orders</x:v>
      </x:c>
      <x:c r="N64" s="18" t="str">
        <x:v>Record explicit discount or proportionate line discounts and correct tax base, reconcile invoice line sum to summary</x:v>
      </x:c>
      <x:c r="O64" s="18" t="str">
        <x:v>Coupon invoice totals and tax sum exactly to payable amount</x:v>
      </x:c>
      <x:c r="P64" s="18" t="str">
        <x:v>Latest static code audit</x:v>
      </x:c>
      <x:c r="Q64" s="18" t="str">
        <x:v>https://github.com/trencito42/fortless/blob/620368742f1df3fd36778dc1e4e567e404cb021b/src/modules/pricing/quote.ts</x:v>
      </x:c>
      <x:c r="R64" s="18" t="str">
        <x:v>Coding AI</x:v>
      </x:c>
      <x:c r="S64" s="18" t="str">
        <x:v>New static analysis</x:v>
      </x:c>
    </x:row>
    <x:row r="65" ht="66" customHeight="1">
      <x:c r="A65" s="18" t="str">
        <x:v>NEW-317</x:v>
      </x:c>
      <x:c r="B65" s="18" t="str">
        <x:v>P2</x:v>
      </x:c>
      <x:c r="C65" s="18" t="str">
        <x:v>LOW</x:v>
      </x:c>
      <x:c r="D65" s="18" t="str">
        <x:v>Support / Storage</x:v>
      </x:c>
      <x:c r="E65" s="18" t="str">
        <x:v>Ticket attachment bytes written before DB transaction with no orphan cleanup</x:v>
      </x:c>
      <x:c r="F65" s="18" t="str">
        <x:v>OPEN</x:v>
      </x:c>
      <x:c r="G65" s="18" t="str">
        <x:v>2026-10-19</x:v>
      </x:c>
      <x:c r="H65" s="18" t="str">
        <x:v>2026-10-19</x:v>
      </x:c>
      <x:c r="I65" s="18" t="str">
        <x:v>6203687</x:v>
      </x:c>
      <x:c r="J65" s="18" t="str">
        <x:v>6203687</x:v>
      </x:c>
      <x:c r="K65" s="18" t="str">
        <x:v>src/modules/support/tickets.ts</x:v>
      </x:c>
      <x:c r="L65" s="18" t="str">
        <x:v>fs.writeFileSync executes before insert transaction; database failure may leave orphan on disk</x:v>
      </x:c>
      <x:c r="M65" s="18" t="str">
        <x:v>Storage leakage and unusable orphan files on DB failure</x:v>
      </x:c>
      <x:c r="N65" s="18" t="str">
        <x:v>Stage file and commit with cleanup-on-failure, recovery cleanup sweeper</x:v>
      </x:c>
      <x:c r="O65" s="18" t="str">
        <x:v>Simulate DB failure; no orphan remains</x:v>
      </x:c>
      <x:c r="P65" s="18" t="str">
        <x:v>Latest static code audit</x:v>
      </x:c>
      <x:c r="Q65" s="18" t="str">
        <x:v>https://github.com/trencito42/fortless/blob/620368742f1df3fd36778dc1e4e567e404cb021b/src/modules/support/tickets.ts</x:v>
      </x:c>
      <x:c r="R65" s="18" t="str">
        <x:v>Coding AI</x:v>
      </x:c>
      <x:c r="S65" s="18" t="str">
        <x:v>New static analysis</x:v>
      </x:c>
    </x:row>
    <x:row r="66" ht="66" customHeight="1">
      <x:c r="A66" s="18" t="str">
        <x:v>NEW-318</x:v>
      </x:c>
      <x:c r="B66" s="18" t="str">
        <x:v>P1</x:v>
      </x:c>
      <x:c r="C66" s="18" t="str">
        <x:v>MEDIUM</x:v>
      </x:c>
      <x:c r="D66" s="18" t="str">
        <x:v>Identity / Passkeys</x:v>
      </x:c>
      <x:c r="E66" s="18" t="str">
        <x:v>Assertion anti-replay may accept client-supplied counter rather than signed authenticator counter</x:v>
      </x:c>
      <x:c r="F66" s="18" t="str">
        <x:v>OPEN</x:v>
      </x:c>
      <x:c r="G66" s="18" t="str">
        <x:v>2026-10-19</x:v>
      </x:c>
      <x:c r="H66" s="18" t="str">
        <x:v>2026-10-19</x:v>
      </x:c>
      <x:c r="I66" s="18" t="str">
        <x:v>6203687</x:v>
      </x:c>
      <x:c r="J66" s="18" t="str">
        <x:v>6203687</x:v>
      </x:c>
      <x:c r="K66" s="18" t="str">
        <x:v>src/modules/identity/passkeys.ts</x:v>
      </x:c>
      <x:c r="L66" s="18" t="str">
        <x:v>newCounter = params.clientCounter ?? signed authData counter; attacker-controlled parameter influences counter persistence</x:v>
      </x:c>
      <x:c r="M66" s="18" t="str">
        <x:v>Anti-replay counter state can be influenced by untrusted caller</x:v>
      </x:c>
      <x:c r="N66" s="18" t="str">
        <x:v>Only use counter extracted from signed authenticatorData; remove clientCounter from external endpoint contract</x:v>
      </x:c>
      <x:c r="O66" s="18" t="str">
        <x:v>Signed counter + forged clientCounter fixtures</x:v>
      </x:c>
      <x:c r="P66" s="18" t="str">
        <x:v>Latest static code audit</x:v>
      </x:c>
      <x:c r="Q66" s="18" t="str">
        <x:v>https://github.com/trencito42/fortless/blob/620368742f1df3fd36778dc1e4e567e404cb021b/src/modules/identity/passkeys.ts</x:v>
      </x:c>
      <x:c r="R66" s="18" t="str">
        <x:v>Coding AI</x:v>
      </x:c>
      <x:c r="S66" s="18" t="str">
        <x:v>See also NEW-307; newly separated test requirement</x:v>
      </x:c>
    </x:row>
    <x:row r="67" ht="66" customHeight="1">
      <x:c r="A67" s="18" t="str">
        <x:v>NEW-319</x:v>
      </x:c>
      <x:c r="B67" s="18" t="str">
        <x:v>P0</x:v>
      </x:c>
      <x:c r="C67" s="18" t="str">
        <x:v>HIGH</x:v>
      </x:c>
      <x:c r="D67" s="18" t="str">
        <x:v>Billing / Subscriptions</x:v>
      </x:c>
      <x:c r="E67" s="18" t="str">
        <x:v>Scheduled cancellation starts remote termination without awaiting completion</x:v>
      </x:c>
      <x:c r="F67" s="18" t="str">
        <x:v>OPEN</x:v>
      </x:c>
      <x:c r="G67" s="18" t="str">
        <x:v>2026-10-19</x:v>
      </x:c>
      <x:c r="H67" s="18" t="str">
        <x:v>2026-10-19</x:v>
      </x:c>
      <x:c r="I67" s="18" t="str">
        <x:v>6203687</x:v>
      </x:c>
      <x:c r="J67" s="18" t="str">
        <x:v>6203687</x:v>
      </x:c>
      <x:c r="K67" s="18" t="str">
        <x:v>src/modules/billing/renewal-dunning.ts; src/modules/provisioning/services.ts</x:v>
      </x:c>
      <x:c r="L67" s="18" t="str">
        <x:v>processSubscriptionRenewals() calls async terminateService(...) inside synchronous runInTransaction(...) without await, then marks subscription CANCELED.</x:v>
      </x:c>
      <x:c r="M67" s="18" t="str">
        <x:v>Service may remain on provider while invoice/contract claims cancellation; rejected promise can escape cancellation flow.</x:v>
      </x:c>
      <x:c r="N67" s="18" t="str">
        <x:v>Write provider lifecycle intent to durable outbox in transaction; await worker settlement and reconcile before final CANCELED state.</x:v>
      </x:c>
      <x:c r="O67" s="18" t="str">
        <x:v>Due cancellation with slow/failing provider remains pending, resumes reliably after worker restart; no unhandled rejection.</x:v>
      </x:c>
      <x:c r="P67" s="18" t="str">
        <x:v>Fortless deeper static audit (same SHA)</x:v>
      </x:c>
      <x:c r="Q67" s="18" t="str">
        <x:v>https://github.com/trencito42/fortless/blob/620368742f1df3fd36778dc1e4e567e404cb021b/src/modules/billing/renewal-dunning.ts</x:v>
      </x:c>
      <x:c r="R67" s="18" t="str">
        <x:v>Coding AI</x:v>
      </x:c>
      <x:c r="S67" s="18" t="str">
        <x:v>Different from NEW-301 (immediate cancellation); this is scheduled period-end path.</x:v>
      </x:c>
    </x:row>
    <x:row r="68" ht="66" customHeight="1">
      <x:c r="A68" s="18" t="str">
        <x:v>NEW-320</x:v>
      </x:c>
      <x:c r="B68" s="18" t="str">
        <x:v>P1</x:v>
      </x:c>
      <x:c r="C68" s="18" t="str">
        <x:v>MEDIUM</x:v>
      </x:c>
      <x:c r="D68" s="18" t="str">
        <x:v>Support / Information Disclosure</x:v>
      </x:c>
      <x:c r="E68" s="18" t="str">
        <x:v>Customer attachment API returns internal filesystem path</x:v>
      </x:c>
      <x:c r="F68" s="18" t="str">
        <x:v>OPEN</x:v>
      </x:c>
      <x:c r="G68" s="18" t="str">
        <x:v>2026-10-19</x:v>
      </x:c>
      <x:c r="H68" s="18" t="str">
        <x:v>2026-10-19</x:v>
      </x:c>
      <x:c r="I68" s="18" t="str">
        <x:v>6203687</x:v>
      </x:c>
      <x:c r="J68" s="18" t="str">
        <x:v>6203687</x:v>
      </x:c>
      <x:c r="K68" s="18" t="str">
        <x:v>src/modules/support/tickets.ts; src/server.ts</x:v>
      </x:c>
      <x:c r="L68" s="18" t="str">
        <x:v>addTicketAttachment() returns SELECT * from ticket_attachments; /api/v1/tickets/:id/attachments returns records containing storage_path; record is exposed to authenticated tenant.</x:v>
      </x:c>
      <x:c r="M68" s="18" t="str">
        <x:v>Discloses internal directory structure and storage absolute paths; unnecessary implementation information to customers.</x:v>
      </x:c>
      <x:c r="N68" s="18" t="str">
        <x:v>Return explicit public attachment DTO omitting storage_path, file_hash if not needed, and internal audit fields; keep path server-only.</x:v>
      </x:c>
      <x:c r="O68" s="18" t="str">
        <x:v>Authenticated customer create/list attachments responses never contain storage_path or absolute server paths.</x:v>
      </x:c>
      <x:c r="P68" s="18" t="str">
        <x:v>Fortless deeper static audit (same SHA)</x:v>
      </x:c>
      <x:c r="Q68" s="18" t="str">
        <x:v>https://github.com/trencito42/fortless/blob/620368742f1df3fd36778dc1e4e567e404cb021b/src/modules/support/tickets.ts</x:v>
      </x:c>
      <x:c r="R68" s="18" t="str">
        <x:v>Coding AI</x:v>
      </x:c>
      <x:c r="S68" s="18" t="str">
        <x:v>Static response model directly inspected.</x:v>
      </x:c>
    </x:row>
    <x:row r="69" ht="66" customHeight="1">
      <x:c r="A69" s="18" t="str">
        <x:v>NEW-321</x:v>
      </x:c>
      <x:c r="B69" s="18" t="str">
        <x:v>P1</x:v>
      </x:c>
      <x:c r="C69" s="18" t="str">
        <x:v>MEDIUM</x:v>
      </x:c>
      <x:c r="D69" s="18" t="str">
        <x:v>Support / Data Integrity</x:v>
      </x:c>
      <x:c r="E69" s="18" t="str">
        <x:v>Ticket attachment messageId is not validated against ticketId</x:v>
      </x:c>
      <x:c r="F69" s="18" t="str">
        <x:v>OPEN</x:v>
      </x:c>
      <x:c r="G69" s="18" t="str">
        <x:v>2026-10-19</x:v>
      </x:c>
      <x:c r="H69" s="18" t="str">
        <x:v>2026-10-19</x:v>
      </x:c>
      <x:c r="I69" s="18" t="str">
        <x:v>6203687</x:v>
      </x:c>
      <x:c r="J69" s="18" t="str">
        <x:v>6203687</x:v>
      </x:c>
      <x:c r="K69" s="18" t="str">
        <x:v>src/modules/support/tickets.ts; src/server.ts</x:v>
      </x:c>
      <x:c r="L69" s="18" t="str">
        <x:v>addTicketAttachment() verifies ticket/account but accepts caller-provided messageId and inserts it without ensuring ticket_messages.ticket_id equals ticket.id.</x:v>
      </x:c>
      <x:c r="M69" s="18" t="str">
        <x:v>Cross-ticket attachment/message relationship may be persisted; incorrect thread association and visibility consistency.</x:v>
      </x:c>
      <x:c r="N69" s="18" t="str">
        <x:v>Require messageId be a message belonging to same ticket and compatible visibility/author rules; enforce in transaction.</x:v>
      </x:c>
      <x:c r="O69" s="18" t="str">
        <x:v>Cross-ticket messageId rejected; same-ticket valid messageId accepted; internal notes remain hidden from customers.</x:v>
      </x:c>
      <x:c r="P69" s="18" t="str">
        <x:v>Fortless deeper static audit (same SHA)</x:v>
      </x:c>
      <x:c r="Q69" s="18" t="str">
        <x:v>https://github.com/trencito42/fortless/blob/620368742f1df3fd36778dc1e4e567e404cb021b/src/modules/support/tickets.ts</x:v>
      </x:c>
      <x:c r="R69" s="18" t="str">
        <x:v>Coding AI</x:v>
      </x:c>
      <x:c r="S69" s="18" t="str">
        <x:v>Requires message ID knowledge; not asserted as arbitrary cross-account data read.</x:v>
      </x:c>
    </x:row>
    <x:row r="70" ht="66" customHeight="1">
      <x:c r="A70" s="18" t="str">
        <x:v>NEW-322</x:v>
      </x:c>
      <x:c r="B70" s="18" t="str">
        <x:v>P0</x:v>
      </x:c>
      <x:c r="C70" s="18" t="str">
        <x:v>HIGH</x:v>
      </x:c>
      <x:c r="D70" s="18" t="str">
        <x:v>Pterodactyl / Staff Operations</x:v>
      </x:c>
      <x:c r="E70" s="18" t="str">
        <x:v>Service relink does not verify destination panel server ownership and changes DB before provider preparation</x:v>
      </x:c>
      <x:c r="F70" s="18" t="str">
        <x:v>OPEN</x:v>
      </x:c>
      <x:c r="G70" s="18" t="str">
        <x:v>2026-10-19</x:v>
      </x:c>
      <x:c r="H70" s="18" t="str">
        <x:v>2026-10-19</x:v>
      </x:c>
      <x:c r="I70" s="18" t="str">
        <x:v>6203687</x:v>
      </x:c>
      <x:c r="J70" s="18" t="str">
        <x:v>6203687</x:v>
      </x:c>
      <x:c r="K70" s="18" t="str">
        <x:v>src/modules/provisioning/runtime-sync.ts; src/server.ts</x:v>
      </x:c>
      <x:c r="L70" s="18" t="str">
        <x:v>relinkService() checks server exists and isn't linked but never checks server.userId matches intended Fortless panel user; DB UPDATE services.external_id occurs before ensureAccountPanelAccess() await.</x:v>
      </x:c>
      <x:c r="M70" s="18" t="str">
        <x:v>Authorized staff can accidentally associate wrong provider server with tenant; failure leaves local pointer altered, possible tenant-resource crossover.</x:v>
      </x:c>
      <x:c r="N70" s="18" t="str">
        <x:v>Before any mutation verify provider instance, target server owner and account panel identity; make state change conditional/transactional with rollback and audit.</x:v>
      </x:c>
      <x:c r="O70" s="18" t="str">
        <x:v>Relink to panel server owned by different account fails with no DB changes; panel preparation failure leaves old linkage intact.</x:v>
      </x:c>
      <x:c r="P70" s="18" t="str">
        <x:v>Fortless deeper static audit (same SHA)</x:v>
      </x:c>
      <x:c r="Q70" s="18" t="str">
        <x:v>https://github.com/trencito42/fortless/blob/620368742f1df3fd36778dc1e4e567e404cb021b/src/modules/provisioning/runtime-sync.ts</x:v>
      </x:c>
      <x:c r="R70" s="18" t="str">
        <x:v>Coding AI</x:v>
      </x:c>
      <x:c r="S70" s="18" t="str">
        <x:v>Staff-only operation, not a claim that ordinary customers can invoke it.</x:v>
      </x:c>
    </x:row>
    <x:row r="71" ht="66" customHeight="1">
      <x:c r="A71" s="18" t="str">
        <x:v>NEW-323</x:v>
      </x:c>
      <x:c r="B71" s="18" t="str">
        <x:v>P1</x:v>
      </x:c>
      <x:c r="C71" s="18" t="str">
        <x:v>HIGH</x:v>
      </x:c>
      <x:c r="D71" s="18" t="str">
        <x:v>Pterodactyl / Credential Scoping</x:v>
      </x:c>
      <x:c r="E71" s="18" t="str">
        <x:v>Database listing may reveal passwords under database.read without database.view_password</x:v>
      </x:c>
      <x:c r="F71" s="18" t="str">
        <x:v>NEEDS_VERIFICATION</x:v>
      </x:c>
      <x:c r="G71" s="18" t="str">
        <x:v>2026-10-19</x:v>
      </x:c>
      <x:c r="H71" s="18" t="str">
        <x:v>2026-10-19</x:v>
      </x:c>
      <x:c r="I71" s="18" t="str">
        <x:v>6203687</x:v>
      </x:c>
      <x:c r="J71" s="18" t="str">
        <x:v>6203687</x:v>
      </x:c>
      <x:c r="K71" s="18" t="str">
        <x:v>src/modules/provisioning/server-panel.ts; src/modules/provisioning/service-access.ts</x:v>
      </x:c>
      <x:c r="L71" s="18" t="str">
        <x:v>PERMISSION_PRESETS.viewer/operator include database.read but omit database.view_password; panelApi.databases() requests '/databases?include=password' and returns password if upstream includes it.</x:v>
      </x:c>
      <x:c r="M71" s="18" t="str">
        <x:v>If provider returns secret with database.read, viewers/operators can see credentials against intended permission boundary.</x:v>
      </x:c>
      <x:c r="N71" s="18" t="str">
        <x:v>Separate database metadata read from credential reveal; require database.view_password server-side to request/return password.</x:v>
      </x:c>
      <x:c r="O71" s="18" t="str">
        <x:v>Fixtures with included password for viewer/operator return null/no field; admin with view_password allowed; verify actual panel behavior.</x:v>
      </x:c>
      <x:c r="P71" s="18" t="str">
        <x:v>Fortless deeper static audit (same SHA)</x:v>
      </x:c>
      <x:c r="Q71" s="18" t="str">
        <x:v>https://github.com/trencito42/fortless/blob/620368742f1df3fd36778dc1e4e567e404cb021b/src/modules/provisioning/server-panel.ts</x:v>
      </x:c>
      <x:c r="R71" s="18" t="str">
        <x:v>Coding AI</x:v>
      </x:c>
      <x:c r="S71" s="18" t="str">
        <x:v>Conditional on real panel enforcement of include=password.</x:v>
      </x:c>
    </x:row>
    <x:row r="72" ht="66" customHeight="1">
      <x:c r="A72" s="18" t="str">
        <x:v>NEW-324</x:v>
      </x:c>
      <x:c r="B72" s="18" t="str">
        <x:v>P0</x:v>
      </x:c>
      <x:c r="C72" s="18" t="str">
        <x:v>HIGH</x:v>
      </x:c>
      <x:c r="D72" s="18" t="str">
        <x:v>Billing / Tax</x:v>
      </x:c>
      <x:c r="E72" s="18" t="str">
        <x:v>Subscription renewal invoices hardcode tax amount and tax rate to zero</x:v>
      </x:c>
      <x:c r="F72" s="18" t="str">
        <x:v>OPEN</x:v>
      </x:c>
      <x:c r="G72" s="18" t="str">
        <x:v>2026-10-19</x:v>
      </x:c>
      <x:c r="H72" s="18" t="str">
        <x:v>2026-10-19</x:v>
      </x:c>
      <x:c r="I72" s="18" t="str">
        <x:v>6203687</x:v>
      </x:c>
      <x:c r="J72" s="18" t="str">
        <x:v>6203687</x:v>
      </x:c>
      <x:c r="K72" s="18" t="str">
        <x:v>src/modules/billing/renewal-dunning.ts; src/modules/pricing/quote.ts</x:v>
      </x:c>
      <x:c r="L72" s="18" t="str">
        <x:v>processSubscriptionRenewals() writes tax_minor_units=0 to renewal invoice and tax_rate_basis_points=0 to invoice_lines regardless of initial tax evidence.</x:v>
      </x:c>
      <x:c r="M72" s="18" t="str">
        <x:v>For VAT-taxable customers renewal invoice may be financially/fiscally incorrect.</x:v>
      </x:c>
      <x:c r="N72" s="18" t="str">
        <x:v>Persist verified tax treatment with subscription and recalculate applicable renewal tax consistently; handle B2B rules and changes over time.</x:v>
      </x:c>
      <x:c r="O72" s="18" t="str">
        <x:v>VAT-taxable renewal retains correct tax; exempt B2B remains zero with verified evidence; invoice items sum to total.</x:v>
      </x:c>
      <x:c r="P72" s="18" t="str">
        <x:v>Fortless deeper static audit (same SHA)</x:v>
      </x:c>
      <x:c r="Q72" s="18" t="str">
        <x:v>https://github.com/trencito42/fortless/blob/620368742f1df3fd36778dc1e4e567e404cb021b/src/modules/billing/renewal-dunning.ts</x:v>
      </x:c>
      <x:c r="R72" s="18" t="str">
        <x:v>Coding AI</x:v>
      </x:c>
      <x:c r="S72" s="18" t="str">
        <x:v>Tax compliance needs jurisdiction-specific review before go-live.</x:v>
      </x:c>
    </x:row>
    <x:row r="73" ht="66" customHeight="1">
      <x:c r="A73" s="18" t="str">
        <x:v>NEW-325</x:v>
      </x:c>
      <x:c r="B73" s="18" t="str">
        <x:v>P1</x:v>
      </x:c>
      <x:c r="C73" s="18" t="str">
        <x:v>MEDIUM</x:v>
      </x:c>
      <x:c r="D73" s="18" t="str">
        <x:v>UI / Runtime State</x:v>
      </x:c>
      <x:c r="E73" s="18" t="str">
        <x:v>Unsuspending a service marks it RUNNING without observing actual provider process state</x:v>
      </x:c>
      <x:c r="F73" s="18" t="str">
        <x:v>OPEN</x:v>
      </x:c>
      <x:c r="G73" s="18" t="str">
        <x:v>2026-10-19</x:v>
      </x:c>
      <x:c r="H73" s="18" t="str">
        <x:v>2026-10-19</x:v>
      </x:c>
      <x:c r="I73" s="18" t="str">
        <x:v>6203687</x:v>
      </x:c>
      <x:c r="J73" s="18" t="str">
        <x:v>6203687</x:v>
      </x:c>
      <x:c r="K73" s="18" t="str">
        <x:v>src/modules/provisioning/services.ts</x:v>
      </x:c>
      <x:c r="L73" s="18" t="str">
        <x:v>unsuspendService() awaits adapter.unsuspend then unconditionally UPDATE service_observed_states SET runtime_state='RUNNING'.</x:v>
      </x:c>
      <x:c r="M73" s="18" t="str">
        <x:v>Fortless can display Running after suspension lifted while server remains powered off.</x:v>
      </x:c>
      <x:c r="N73" s="18" t="str">
        <x:v>Mark runtime UNKNOWN/STOPPED until real provider telemetry; schedule refresh; distinguish contract status and runtime status.</x:v>
      </x:c>
      <x:c r="O73" s="18" t="str">
        <x:v>Unsuspend a powered-off service: contract ACTIVE, runtime STOPPED/UNKNOWN until verified, never fabricated RUNNING.</x:v>
      </x:c>
      <x:c r="P73" s="18" t="str">
        <x:v>Fortless deeper static audit (same SHA)</x:v>
      </x:c>
      <x:c r="Q73" s="18" t="str">
        <x:v>https://github.com/trencito42/fortless/blob/620368742f1df3fd36778dc1e4e567e404cb021b/src/modules/provisioning/services.ts</x:v>
      </x:c>
      <x:c r="R73" s="18" t="str">
        <x:v>Coding AI</x:v>
      </x:c>
      <x:c r="S73" s="18" t="str">
        <x:v>Directly affects Stripe-quality trustworthy UI states.</x:v>
      </x:c>
    </x:row>
    <x:row r="74" ht="66" customHeight="1">
      <x:c r="A74" s="18" t="str">
        <x:v>NEW-326</x:v>
      </x:c>
      <x:c r="B74" s="18" t="str">
        <x:v>P1</x:v>
      </x:c>
      <x:c r="C74" s="18" t="str">
        <x:v>MEDIUM</x:v>
      </x:c>
      <x:c r="D74" s="18" t="str">
        <x:v>Proxmox / Provisioning</x:v>
      </x:c>
      <x:c r="E74" s="18" t="str">
        <x:v>VPS OS selection does not control image/template and cloud-init user is hardcoded</x:v>
      </x:c>
      <x:c r="F74" s="18" t="str">
        <x:v>OPEN</x:v>
      </x:c>
      <x:c r="G74" s="18" t="str">
        <x:v>2026-10-19</x:v>
      </x:c>
      <x:c r="H74" s="18" t="str">
        <x:v>2026-10-19</x:v>
      </x:c>
      <x:c r="I74" s="18" t="str">
        <x:v>6203687</x:v>
      </x:c>
      <x:c r="J74" s="18" t="str">
        <x:v>6203687</x:v>
      </x:c>
      <x:c r="K74" s="18" t="str">
        <x:v>src/modules/provisioning/adapter.ts; src/modules/catalog/catalog.ts; src/modules/outbox/worker.ts</x:v>
      </x:c>
      <x:c r="L74" s="18" t="str">
        <x:v>validateVpsOptions() accepts osImage; worker sets OS_IMAGE env, but Mock/real Proxmox provision uses configured single templateVmid and hardcoded ciuser='debian'.</x:v>
      </x:c>
      <x:c r="M74" s="18" t="str">
        <x:v>Customer choosing Ubuntu/AlmaLinux could receive wrong OS or user credentials cannot work.</x:v>
      </x:c>
      <x:c r="N74" s="18" t="str">
        <x:v>Map validated OS images to approved immutable templates and compatible cloud-init user; fail unsupported images closed.</x:v>
      </x:c>
      <x:c r="O74" s="18" t="str">
        <x:v>Each advertised OS produces matching template/booted OS and correct login user in sandbox; invalid image rejected.</x:v>
      </x:c>
      <x:c r="P74" s="18" t="str">
        <x:v>Fortless deeper static audit (same SHA)</x:v>
      </x:c>
      <x:c r="Q74" s="18" t="str">
        <x:v>https://github.com/trencito42/fortless/blob/620368742f1df3fd36778dc1e4e567e404cb021b/src/modules/provisioning/adapter.ts</x:v>
      </x:c>
      <x:c r="R74" s="18" t="str">
        <x:v>Coding AI</x:v>
      </x:c>
      <x:c r="S74" s="18" t="str">
        <x:v>Provider template delivery needs real Proxmox confirmation.</x:v>
      </x:c>
    </x:row>
    <x:row r="75" ht="66" customHeight="1">
      <x:c r="A75" s="18" t="str">
        <x:v>NEW-327</x:v>
      </x:c>
      <x:c r="B75" s="18" t="str">
        <x:v>P1</x:v>
      </x:c>
      <x:c r="C75" s="18" t="str">
        <x:v>MEDIUM</x:v>
      </x:c>
      <x:c r="D75" s="18" t="str">
        <x:v>Proxmox / Provisioning</x:v>
      </x:c>
      <x:c r="E75" s="18" t="str">
        <x:v>Proxmox clone task completion is not explicitly awaited before VM configuration</x:v>
      </x:c>
      <x:c r="F75" s="18" t="str">
        <x:v>NEEDS_VERIFICATION</x:v>
      </x:c>
      <x:c r="G75" s="18" t="str">
        <x:v>2026-10-19</x:v>
      </x:c>
      <x:c r="H75" s="18" t="str">
        <x:v>2026-10-19</x:v>
      </x:c>
      <x:c r="I75" s="18" t="str">
        <x:v>6203687</x:v>
      </x:c>
      <x:c r="J75" s="18" t="str">
        <x:v>6203687</x:v>
      </x:c>
      <x:c r="K75" s="18" t="str">
        <x:v>src/modules/provisioning/adapter.ts</x:v>
      </x:c>
      <x:c r="L75" s="18" t="str">
        <x:v>ProxmoxAdapter.provision() sends POST clone then immediately POST VM config/start without polling returned task UPID.</x:v>
      </x:c>
      <x:c r="M75" s="18" t="str">
        <x:v>On real Proxmox nodes asynchronous clone may still run, leading to not-found, lock, or inconsistent VM readiness.</x:v>
      </x:c>
      <x:c r="N75" s="18" t="str">
        <x:v>Poll UPID task completion with timeout/cancellation and recovery-by-correlation; make clone/config/start saga idempotent.</x:v>
      </x:c>
      <x:c r="O75" s="18" t="str">
        <x:v>Delayed clone task test cannot configure/start before UPID completes; failed clone reconciles without duplicate VM.</x:v>
      </x:c>
      <x:c r="P75" s="18" t="str">
        <x:v>Fortless deeper static audit (same SHA)</x:v>
      </x:c>
      <x:c r="Q75" s="18" t="str">
        <x:v>https://github.com/trencito42/fortless/blob/620368742f1df3fd36778dc1e4e567e404cb021b/src/modules/provisioning/adapter.ts</x:v>
      </x:c>
      <x:c r="R75" s="18" t="str">
        <x:v>Coding AI</x:v>
      </x:c>
      <x:c r="S75" s="18" t="str">
        <x:v>Actual PVE cluster task semantics and live behavior not executed here.</x:v>
      </x:c>
    </x:row>
    <x:row r="76" ht="66" customHeight="1">
      <x:c r="A76" s="18" t="str">
        <x:v>NEW-328</x:v>
      </x:c>
      <x:c r="B76" s="18" t="str">
        <x:v>P1</x:v>
      </x:c>
      <x:c r="C76" s="18" t="str">
        <x:v>HIGH</x:v>
      </x:c>
      <x:c r="D76" s="18" t="str">
        <x:v>Catalog / Checkout</x:v>
      </x:c>
      <x:c r="E76" s="18" t="str">
        <x:v>Direct quote API allows active plans under unpublished products/categories</x:v>
      </x:c>
      <x:c r="F76" s="18" t="str">
        <x:v>OPEN</x:v>
      </x:c>
      <x:c r="G76" s="18" t="str">
        <x:v>2026-10-19</x:v>
      </x:c>
      <x:c r="H76" s="18" t="str">
        <x:v>2026-10-19</x:v>
      </x:c>
      <x:c r="I76" s="18" t="str">
        <x:v>6203687</x:v>
      </x:c>
      <x:c r="J76" s="18" t="str">
        <x:v>6203687</x:v>
      </x:c>
      <x:c r="K76" s="18" t="str">
        <x:v>src/modules/pricing/quote.ts; src/modules/catalog/catalog.ts</x:v>
      </x:c>
      <x:c r="L76" s="18" t="str">
        <x:v>createQuote() price query joins plan_versions only and checks pv.status='ACTIVE'; unlike getPublishedPlans it does not join published products and active categories.</x:v>
      </x:c>
      <x:c r="M76" s="18" t="str">
        <x:v>User knowing a planVersionId can attempt purchase of a deliberately unpublished plan; bypasses public catalog gating.</x:v>
      </x:c>
      <x:c r="N76" s="18" t="str">
        <x:v>Require p.is_published=1 AND category.is_active=1 (and provider availability) at quote creation and checkout verification.</x:v>
      </x:c>
      <x:c r="O76" s="18" t="str">
        <x:v>Unpublished product ACTIVE plan ID cannot produce public quote/checkout; staff preview uses explicit permissioned path.</x:v>
      </x:c>
      <x:c r="P76" s="18" t="str">
        <x:v>Fortless deeper static audit (same SHA)</x:v>
      </x:c>
      <x:c r="Q76" s="18" t="str">
        <x:v>https://github.com/trencito42/fortless/blob/620368742f1df3fd36778dc1e4e567e404cb021b/src/modules/pricing/quote.ts</x:v>
      </x:c>
      <x:c r="R76" s="18" t="str">
        <x:v>Coding AI</x:v>
      </x:c>
      <x:c r="S76" s="18" t="str">
        <x:v>Business rule assumes unpublished means not purchasable to customers.</x:v>
      </x:c>
    </x:row>
    <x:row r="77" ht="66" customHeight="1">
      <x:c r="A77" s="18" t="str">
        <x:v>NEW-329</x:v>
      </x:c>
      <x:c r="B77" s="18" t="str">
        <x:v>P1</x:v>
      </x:c>
      <x:c r="C77" s="18" t="str">
        <x:v>MEDIUM</x:v>
      </x:c>
      <x:c r="D77" s="18" t="str">
        <x:v>UI / UX</x:v>
      </x:c>
      <x:c r="E77" s="18" t="str">
        <x:v>Global search advertises admin pages unsupported by staff member's role</x:v>
      </x:c>
      <x:c r="F77" s="18" t="str">
        <x:v>OPEN</x:v>
      </x:c>
      <x:c r="G77" s="18" t="str">
        <x:v>2026-10-19</x:v>
      </x:c>
      <x:c r="H77" s="18" t="str">
        <x:v>2026-10-19</x:v>
      </x:c>
      <x:c r="I77" s="18" t="str">
        <x:v>6203687</x:v>
      </x:c>
      <x:c r="J77" s="18" t="str">
        <x:v>6203687</x:v>
      </x:c>
      <x:c r="K77" s="18" t="str">
        <x:v>src/server.ts</x:v>
      </x:c>
      <x:c r="L77" s="18" t="str">
        <x:v>/api/v1/search sets isStaff from any active staff access + MFA, then includes a fixed complete adminPages list regardless of hasStaffPermission(viewPermissions).</x:v>
      </x:c>
      <x:c r="M77" s="18" t="str">
        <x:v>Search results navigate staff to 403 pages, inconsistent with role-aware smart interface.</x:v>
      </x:c>
      <x:c r="N77" s="18" t="str">
        <x:v>Filter suggested pages by exact staff permissions and feature/provider availability, reuse route permission policy.</x:v>
      </x:c>
      <x:c r="O77" s="18" t="str">
        <x:v>BILLING/SUPPORT/AUDITOR search never returns inaccessible admin routes; OWNER sees available pages.</x:v>
      </x:c>
      <x:c r="P77" s="18" t="str">
        <x:v>Fortless deeper static audit (same SHA)</x:v>
      </x:c>
      <x:c r="Q77" s="18" t="str">
        <x:v>https://github.com/trencito42/fortless/blob/620368742f1df3fd36778dc1e4e567e404cb021b/src/server.ts</x:v>
      </x:c>
      <x:c r="R77" s="18" t="str">
        <x:v>Coding AI</x:v>
      </x:c>
      <x:c r="S77" s="18" t="str">
        <x:v>UX inconsistency, not authorization bypass; protected route correctly denies navigation.</x:v>
      </x:c>
    </x:row>
  </x:sheetData>
  <x:mergeCells>
    <x:mergeCell ref="A1:S1"/>
    <x:mergeCell ref="A2:S2"/>
  </x:mergeCells>
  <x:conditionalFormatting sqref="F4:F66">
    <x:cfRule type="expression" dxfId="0" priority="1">
      <x:formula>$F4="OPEN"</x:formula>
    </x:cfRule>
    <x:cfRule type="expression" dxfId="1" priority="2">
      <x:formula>$F4="PARTIAL"</x:formula>
    </x:cfRule>
    <x:cfRule type="expression" dxfId="2" priority="3">
      <x:formula>$F4="FIXED_IN_CODE"</x:formula>
    </x:cfRule>
    <x:cfRule type="expression" dxfId="3" priority="4">
      <x:formula>$F4="CLOSED"</x:formula>
    </x:cfRule>
    <x:cfRule type="expression" dxfId="4" priority="5">
      <x:formula>$F4="NEEDS_VERIFICATION"</x:formula>
    </x:cfRule>
    <x:cfRule type="expression" dxfId="5" priority="6">
      <x:formula>$F4="REGRESSION"</x:formula>
    </x:cfRule>
    <x:cfRule type="expression" dxfId="6" priority="7">
      <x:formula>$F4="TESTED"</x:formula>
    </x:cfRule>
    <x:cfRule type="expression" dxfId="7" priority="8">
      <x:formula>$F4="POLICY_DECISION"</x:formula>
    </x:cfRule>
  </x:conditionalFormatting>
  <x:conditionalFormatting sqref="F67:F77">
    <x:cfRule type="expression" dxfId="8" priority="9">
      <x:formula>$F67="OPEN"</x:formula>
    </x:cfRule>
    <x:cfRule type="expression" dxfId="9" priority="10">
      <x:formula>$F67="PARTIAL"</x:formula>
    </x:cfRule>
    <x:cfRule type="expression" dxfId="10" priority="11">
      <x:formula>$F67="NEEDS_VERIFICATION"</x:formula>
    </x:cfRule>
    <x:cfRule type="expression" dxfId="11" priority="12">
      <x:formula>$F67="FIXED_IN_CODE"</x:formula>
    </x:cfRule>
    <x:cfRule type="expression" dxfId="12" priority="13">
      <x:formula>$F67="CLOSED"</x:formula>
    </x:cfRule>
  </x:conditionalFormatting>
  <x:dataValidations count="4">
    <x:dataValidation type="list" sqref="F4:F66">
      <x:formula1>"OPEN,PARTIAL,FIXED_IN_CODE,TESTED,CLOSED,REGRESSION,NEEDS_VERIFICATION,POLICY_DECISION,WONT_FIX"</x:formula1>
    </x:dataValidation>
    <x:dataValidation type="list" sqref="B4:B66">
      <x:formula1>"P0,P1,P2,P3"</x:formula1>
    </x:dataValidation>
    <x:dataValidation type="list" sqref="F67:F77">
      <x:formula1>"OPEN,PARTIAL,FIXED_IN_CODE,TESTED,CLOSED,REGRESSION,NEEDS_VERIFICATION,POLICY_DECISION,WONT_FIX"</x:formula1>
    </x:dataValidation>
    <x:dataValidation type="list" sqref="B67:B77">
      <x:formula1>"P0,P1,P2,P3"</x:formula1>
    </x:dataValidation>
  </x:dataValidations>
  <x:pageMargins left="0.7" right="0.7" top="0.75" bottom="0.75" header="0.3" footer="0.3"/>
  <x:tableParts count="1">
    <x:tablePart xmlns:r="http://schemas.openxmlformats.org/officeDocument/2006/relationships" r:id="Ra06e05c174ae46bb"/>
  </x:tableParts>
</x:worksheet>
</file>

<file path=xl/worksheets/sheet2.xml><?xml version="1.0" encoding="utf-8"?>
<x:worksheet xmlns:x="http://schemas.openxmlformats.org/spreadsheetml/2006/main">
  <x:sheetViews>
    <x:sheetView workbookViewId="0">
      <x:pane ySplit="2" topLeftCell="A3" activePane="bottomLeft" state="frozen"/>
    </x:sheetView>
  </x:sheetViews>
  <x:sheetFormatPr defaultRowHeight="15"/>
  <x:cols>
    <x:col min="1" max="1" width="23" hidden="0" customWidth="1"/>
    <x:col min="2" max="2" width="19" hidden="0" customWidth="1"/>
    <x:col min="3" max="3" width="22" hidden="0" customWidth="1"/>
    <x:col min="4" max="4" width="19" hidden="0" customWidth="1"/>
    <x:col min="5" max="5" width="19" hidden="0" customWidth="1"/>
    <x:col min="6" max="6" width="23" hidden="0" customWidth="1"/>
    <x:col min="7" max="7" width="19" hidden="0" customWidth="1"/>
    <x:col min="8" max="8" width="19" hidden="0" customWidth="1"/>
  </x:cols>
  <x:sheetData>
    <x:row r="1" ht="46" customHeight="1">
      <x:c r="A1" s="22" t="str">
        <x:v>FORTLESS   /   SECURITY &amp; PRODUCT QUALITY</x:v>
      </x:c>
      <x:c r="B1" s="22"/>
      <x:c r="C1" s="22"/>
      <x:c r="D1" s="22"/>
      <x:c r="E1" s="22"/>
      <x:c r="F1" s="22"/>
      <x:c r="G1" s="22"/>
      <x:c r="H1" s="22"/>
    </x:row>
    <x:row r="2" ht="29" customHeight="1">
      <x:c r="A2" s="7" t="str">
        <x:v>Engineering control center · baseline 9dacfcb → 6203687 · additional review (same SHA) · 19 October 2026</x:v>
      </x:c>
      <x:c r="B2" s="7"/>
      <x:c r="C2" s="7"/>
      <x:c r="D2" s="7"/>
      <x:c r="E2" s="7"/>
      <x:c r="F2" s="7"/>
      <x:c r="G2" s="7"/>
      <x:c r="H2" s="7"/>
    </x:row>
    <x:row r="4" ht="30" customHeight="1">
      <x:c r="A4" s="26" t="str">
        <x:v>TRACKED FINDINGS</x:v>
      </x:c>
      <x:c r="B4" s="26"/>
      <x:c r="C4" s="26" t="str">
        <x:v>OPEN / REGRESSION</x:v>
      </x:c>
      <x:c r="D4" s="26"/>
      <x:c r="E4" s="26" t="str">
        <x:v>FIXED IN CODE</x:v>
      </x:c>
      <x:c r="F4" s="26"/>
      <x:c r="G4" s="26" t="str">
        <x:v>CLOSED &amp; TESTED</x:v>
      </x:c>
      <x:c r="H4" s="26"/>
    </x:row>
    <x:row r="5" ht="31" customHeight="1">
      <x:c r="A5" s="33" t="n">
        <x:f>COUNTA(Findings!A4:A77)</x:f>
        <x:v>74</x:v>
      </x:c>
      <x:c r="B5" s="33"/>
      <x:c r="C5" s="33" t="n">
        <x:f>COUNTIF(Findings!F4:F77,"OPEN")+COUNTIF(Findings!F4:F77,"REGRESSION")</x:f>
        <x:v>51</x:v>
      </x:c>
      <x:c r="D5" s="33"/>
      <x:c r="E5" s="33" t="n">
        <x:f>COUNTIF(Findings!F4:F77,"FIXED_IN_CODE")</x:f>
        <x:v>7</x:v>
      </x:c>
      <x:c r="F5" s="33"/>
      <x:c r="G5" s="33" t="n">
        <x:f>COUNTIF(Findings!F4:F77,"CLOSED")+COUNTIF(Findings!F4:F77,"TESTED")</x:f>
        <x:v>0</x:v>
      </x:c>
      <x:c r="H5" s="33"/>
    </x:row>
    <x:row r="6" ht="31" customHeight="1">
      <x:c r="A6" s="33"/>
      <x:c r="B6" s="33"/>
      <x:c r="C6" s="33"/>
      <x:c r="D6" s="33"/>
      <x:c r="E6" s="33"/>
      <x:c r="F6" s="33"/>
      <x:c r="G6" s="33"/>
      <x:c r="H6" s="33"/>
    </x:row>
    <x:row r="9" ht="26" customHeight="1">
      <x:c r="A9" s="38" t="str">
        <x:v>PRIORITY &amp; STATUS</x:v>
      </x:c>
      <x:c r="B9" s="38"/>
      <x:c r="C9" s="38"/>
      <x:c r="D9" s="38"/>
      <x:c r="F9" s="38" t="str">
        <x:v>RELEASE CONTROL</x:v>
      </x:c>
      <x:c r="G9" s="38"/>
      <x:c r="H9" s="38"/>
    </x:row>
    <x:row r="10" ht="34" customHeight="1">
      <x:c r="A10" t="str">
        <x:v>OPEN</x:v>
      </x:c>
      <x:c r="B10" t="n">
        <x:f>COUNTIF(Findings!F4:F77,A10)</x:f>
        <x:v>51</x:v>
      </x:c>
      <x:c r="C10" t="str">
        <x:v>Priority</x:v>
      </x:c>
      <x:c r="D10" t="str">
        <x:v>Count</x:v>
      </x:c>
      <x:c r="F10" s="43" t="str">
        <x:v>NOT CLEARED FOR PUBLIC PAID LAUNCH
Static code findings remain, provider E2E and Stripe billing lifecycles not independently tested.
Do not close a ticket based only on an AI statement or commit title.</x:v>
      </x:c>
      <x:c r="G10" s="43"/>
      <x:c r="H10" s="43"/>
    </x:row>
    <x:row r="11" ht="34" customHeight="1">
      <x:c r="A11" t="str">
        <x:v>PARTIAL</x:v>
      </x:c>
      <x:c r="B11" t="n">
        <x:f>COUNTIF(Findings!F4:F77,A11)</x:f>
        <x:v>3</x:v>
      </x:c>
      <x:c r="C11" t="str">
        <x:v>P0</x:v>
      </x:c>
      <x:c r="D11" t="n">
        <x:f>COUNTIF(Findings!B4:B77,C11)</x:f>
        <x:v>26</x:v>
      </x:c>
      <x:c r="F11" s="43"/>
      <x:c r="G11" s="43"/>
      <x:c r="H11" s="43"/>
    </x:row>
    <x:row r="12" ht="34" customHeight="1">
      <x:c r="A12" t="str">
        <x:v>NEEDS_VERIFICATION</x:v>
      </x:c>
      <x:c r="B12" t="n">
        <x:f>COUNTIF(Findings!F4:F77,A12)</x:f>
        <x:v>11</x:v>
      </x:c>
      <x:c r="C12" t="str">
        <x:v>P1</x:v>
      </x:c>
      <x:c r="D12" t="n">
        <x:f>COUNTIF(Findings!B4:B77,C12)</x:f>
        <x:v>46</x:v>
      </x:c>
      <x:c r="F12" s="43"/>
      <x:c r="G12" s="43"/>
      <x:c r="H12" s="43"/>
    </x:row>
    <x:row r="13" ht="34" customHeight="1">
      <x:c r="A13" t="str">
        <x:v>POLICY_DECISION</x:v>
      </x:c>
      <x:c r="B13" t="n">
        <x:f>COUNTIF(Findings!F4:F77,A13)</x:f>
        <x:v>2</x:v>
      </x:c>
      <x:c r="C13" t="str">
        <x:v>P2</x:v>
      </x:c>
      <x:c r="D13" t="n">
        <x:f>COUNTIF(Findings!B4:B77,C13)</x:f>
        <x:v>2</x:v>
      </x:c>
      <x:c r="F13" s="43"/>
      <x:c r="G13" s="43"/>
      <x:c r="H13" s="43"/>
    </x:row>
    <x:row r="14" ht="34" customHeight="1">
      <x:c r="A14" t="str">
        <x:v>FIXED_IN_CODE</x:v>
      </x:c>
      <x:c r="B14" t="n">
        <x:f>COUNTIF(Findings!F4:F77,A14)</x:f>
        <x:v>7</x:v>
      </x:c>
      <x:c r="F14" s="43"/>
      <x:c r="G14" s="43"/>
      <x:c r="H14" s="43"/>
    </x:row>
    <x:row r="15">
      <x:c r="A15" t="str">
        <x:v>TESTED</x:v>
      </x:c>
      <x:c r="B15" t="n">
        <x:f>COUNTIF(Findings!F4:F77,A15)</x:f>
        <x:v>0</x:v>
      </x:c>
    </x:row>
    <x:row r="16">
      <x:c r="A16" t="str">
        <x:v>CLOSED</x:v>
      </x:c>
      <x:c r="B16" t="n">
        <x:f>COUNTIF(Findings!F4:F77,A16)</x:f>
        <x:v>0</x:v>
      </x:c>
      <x:c r="F16" t="str">
        <x:v>LATEST VERIFIED COMMIT</x:v>
      </x:c>
    </x:row>
    <x:row r="17">
      <x:c r="A17" t="str">
        <x:v>REGRESSION</x:v>
      </x:c>
      <x:c r="B17" t="n">
        <x:f>COUNTIF(Findings!F4:F77,A17)</x:f>
        <x:v>0</x:v>
      </x:c>
      <x:c r="F17" s="51" t="str">
        <x:v>620368742f1d</x:v>
      </x:c>
      <x:c r="G17" s="51"/>
      <x:c r="H17" s="51"/>
    </x:row>
    <x:row r="18">
      <x:c r="F18" s="51"/>
      <x:c r="G18" s="51"/>
      <x:c r="H18" s="51"/>
    </x:row>
    <x:row r="20" ht="28" customHeight="1">
      <x:c r="A20" s="38" t="str">
        <x:v>STATUS CONTRACT</x:v>
      </x:c>
      <x:c r="B20" s="38"/>
      <x:c r="C20" s="38"/>
      <x:c r="D20" s="38"/>
      <x:c r="E20" s="38"/>
      <x:c r="F20" s="38"/>
      <x:c r="G20" s="38"/>
      <x:c r="H20" s="38"/>
    </x:row>
    <x:row r="22" ht="24" customHeight="1">
      <x:c r="A22" s="57" t="str">
        <x:v>OPEN</x:v>
      </x:c>
      <x:c r="B22" s="57"/>
      <x:c r="C22" s="61" t="str">
        <x:v>Issue present in inspected source</x:v>
      </x:c>
      <x:c r="D22" s="61"/>
      <x:c r="E22" s="61"/>
      <x:c r="F22" s="61"/>
      <x:c r="G22" s="61"/>
      <x:c r="H22" s="61"/>
    </x:row>
    <x:row r="23" ht="24" customHeight="1">
      <x:c r="A23" s="57" t="str">
        <x:v>PARTIAL</x:v>
      </x:c>
      <x:c r="B23" s="57"/>
      <x:c r="C23" s="61" t="str">
        <x:v>Some code fixed; unresolved conditions remain</x:v>
      </x:c>
      <x:c r="D23" s="61"/>
      <x:c r="E23" s="61"/>
      <x:c r="F23" s="61"/>
      <x:c r="G23" s="61"/>
      <x:c r="H23" s="61"/>
    </x:row>
    <x:row r="24" ht="24" customHeight="1">
      <x:c r="A24" s="57" t="str">
        <x:v>FIXED_IN_CODE</x:v>
      </x:c>
      <x:c r="B24" s="57"/>
      <x:c r="C24" s="61" t="str">
        <x:v>Fix observed in source; still needs regression/runtime validation</x:v>
      </x:c>
      <x:c r="D24" s="61"/>
      <x:c r="E24" s="61"/>
      <x:c r="F24" s="61"/>
      <x:c r="G24" s="61"/>
      <x:c r="H24" s="61"/>
    </x:row>
    <x:row r="25" ht="24" customHeight="1">
      <x:c r="A25" s="57" t="str">
        <x:v>NEEDS_VERIFICATION</x:v>
      </x:c>
      <x:c r="B25" s="57"/>
      <x:c r="C25" s="61" t="str">
        <x:v>Question or risk not independently demonstrated</x:v>
      </x:c>
      <x:c r="D25" s="61"/>
      <x:c r="E25" s="61"/>
      <x:c r="F25" s="61"/>
      <x:c r="G25" s="61"/>
      <x:c r="H25" s="61"/>
    </x:row>
    <x:row r="26" ht="24" customHeight="1">
      <x:c r="A26" s="57" t="str">
        <x:v>POLICY_DECISION</x:v>
      </x:c>
      <x:c r="B26" s="57"/>
      <x:c r="C26" s="61" t="str">
        <x:v>Requires an explicit product/security policy</x:v>
      </x:c>
      <x:c r="D26" s="61"/>
      <x:c r="E26" s="61"/>
      <x:c r="F26" s="61"/>
      <x:c r="G26" s="61"/>
      <x:c r="H26" s="61"/>
    </x:row>
    <x:row r="27" ht="24" customHeight="1">
      <x:c r="A27" s="57" t="str">
        <x:v>TESTED</x:v>
      </x:c>
      <x:c r="B27" s="57"/>
      <x:c r="C27" s="61" t="str">
        <x:v>Automated/authorized tests executed and evidence stored</x:v>
      </x:c>
      <x:c r="D27" s="61"/>
      <x:c r="E27" s="61"/>
      <x:c r="F27" s="61"/>
      <x:c r="G27" s="61"/>
      <x:c r="H27" s="61"/>
    </x:row>
    <x:row r="28" ht="24" customHeight="1">
      <x:c r="A28" s="57" t="str">
        <x:v>CLOSED</x:v>
      </x:c>
      <x:c r="B28" s="57"/>
      <x:c r="C28" s="61" t="str">
        <x:v>Fix independently verified and accepted</x:v>
      </x:c>
      <x:c r="D28" s="61"/>
      <x:c r="E28" s="61"/>
      <x:c r="F28" s="61"/>
      <x:c r="G28" s="61"/>
      <x:c r="H28" s="61"/>
    </x:row>
    <x:row r="29" ht="24" customHeight="1">
      <x:c r="A29" s="57" t="str">
        <x:v>REGRESSION</x:v>
      </x:c>
      <x:c r="B29" s="57"/>
      <x:c r="C29" s="61" t="str">
        <x:v>Previously fixed behavior has returned</x:v>
      </x:c>
      <x:c r="D29" s="61"/>
      <x:c r="E29" s="61"/>
      <x:c r="F29" s="61"/>
      <x:c r="G29" s="61"/>
      <x:c r="H29" s="61"/>
    </x:row>
  </x:sheetData>
  <x:mergeCells>
    <x:mergeCell ref="A1:H1"/>
    <x:mergeCell ref="A2:H2"/>
    <x:mergeCell ref="A4:B4"/>
    <x:mergeCell ref="C4:D4"/>
    <x:mergeCell ref="E4:F4"/>
    <x:mergeCell ref="G4:H4"/>
    <x:mergeCell ref="A5:B6"/>
    <x:mergeCell ref="C5:D6"/>
    <x:mergeCell ref="E5:F6"/>
    <x:mergeCell ref="G5:H6"/>
    <x:mergeCell ref="A9:D9"/>
    <x:mergeCell ref="F9:H9"/>
    <x:mergeCell ref="F10:H14"/>
    <x:mergeCell ref="F16:H16"/>
    <x:mergeCell ref="F17:H18"/>
    <x:mergeCell ref="A20:H20"/>
    <x:mergeCell ref="A22:B22"/>
    <x:mergeCell ref="C22:H22"/>
    <x:mergeCell ref="A23:B23"/>
    <x:mergeCell ref="C23:H23"/>
    <x:mergeCell ref="A24:B24"/>
    <x:mergeCell ref="C24:H24"/>
    <x:mergeCell ref="A25:B25"/>
    <x:mergeCell ref="C25:H25"/>
    <x:mergeCell ref="A26:B26"/>
    <x:mergeCell ref="C26:H26"/>
    <x:mergeCell ref="A27:B27"/>
    <x:mergeCell ref="C27:H27"/>
    <x:mergeCell ref="A28:B28"/>
    <x:mergeCell ref="C28:H28"/>
    <x:mergeCell ref="A29:B29"/>
    <x:mergeCell ref="C29:H29"/>
  </x:mergeCells>
  <x:pageMargins left="0.7" right="0.7" top="0.75" bottom="0.75" header="0.3" footer="0.3"/>
</x:worksheet>
</file>

<file path=xl/worksheets/sheet3.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7" hidden="0" customWidth="1"/>
    <x:col min="2" max="2" width="31" hidden="0" customWidth="1"/>
    <x:col min="3" max="3" width="48" hidden="0" customWidth="1"/>
    <x:col min="4" max="4" width="66" hidden="0" customWidth="1"/>
    <x:col min="5" max="5" width="24" hidden="0" customWidth="1"/>
  </x:cols>
  <x:sheetData>
    <x:row r="1" ht="36" customHeight="1">
      <x:c r="A1" s="3" t="str">
        <x:v>FORTLESS   /   30 SECURITY AUDIT DOMAINS</x:v>
      </x:c>
      <x:c r="B1" s="3"/>
      <x:c r="C1" s="3"/>
      <x:c r="D1" s="3"/>
      <x:c r="E1" s="3"/>
    </x:row>
    <x:row r="2" ht="30" customHeight="1">
      <x:c r="A2" s="7" t="str">
        <x:v>Static source review expanded at 6203687. Coverage is NOT an independent runtime, load, security or pixel-diff test.</x:v>
      </x:c>
      <x:c r="B2" s="7"/>
      <x:c r="C2" s="7"/>
      <x:c r="D2" s="7"/>
      <x:c r="E2" s="7"/>
    </x:row>
    <x:row r="3" ht="29" customHeight="1">
      <x:c r="A3" s="38" t="str">
        <x:v>#</x:v>
      </x:c>
      <x:c r="B3" s="38" t="str">
        <x:v>Domain</x:v>
      </x:c>
      <x:c r="C3" s="38" t="str">
        <x:v>Scope</x:v>
      </x:c>
      <x:c r="D3" s="38" t="str">
        <x:v>Related finding IDs</x:v>
      </x:c>
      <x:c r="E3" s="38" t="str">
        <x:v>Audit coverage</x:v>
      </x:c>
    </x:row>
    <x:row r="4" ht="46" customHeight="1">
      <x:c r="A4" s="18" t="str">
        <x:v>01</x:v>
      </x:c>
      <x:c r="B4" s="18" t="str">
        <x:v>Authentication</x:v>
      </x:c>
      <x:c r="C4" s="18" t="str">
        <x:v>Login/register/reset, brute force, enumeration</x:v>
      </x:c>
      <x:c r="D4" s="18" t="str">
        <x:v>SEC-09, FTL-SEC-205</x:v>
      </x:c>
      <x:c r="E4" s="18" t="str">
        <x:v>STATIC_PARTIAL</x:v>
      </x:c>
    </x:row>
    <x:row r="5" ht="46" customHeight="1">
      <x:c r="A5" s="18" t="str">
        <x:v>02</x:v>
      </x:c>
      <x:c r="B5" s="18" t="str">
        <x:v>Sessions &amp; Devices</x:v>
      </x:c>
      <x:c r="C5" s="18" t="str">
        <x:v>Token rotation, expiry, login/logout, revocation</x:v>
      </x:c>
      <x:c r="D5" s="18" t="str">
        <x:v>SEC-03, SEC-04, FTL-SEC-202</x:v>
      </x:c>
      <x:c r="E5" s="18" t="str">
        <x:v>STATIC_PARTIAL</x:v>
      </x:c>
    </x:row>
    <x:row r="6" ht="46" customHeight="1">
      <x:c r="A6" s="18" t="str">
        <x:v>03</x:v>
      </x:c>
      <x:c r="B6" s="18" t="str">
        <x:v>MFA &amp; Passkeys</x:v>
      </x:c>
      <x:c r="C6" s="18" t="str">
        <x:v>TOTP, WebAuthn, recovery, replay, UV</x:v>
      </x:c>
      <x:c r="D6" s="18" t="str">
        <x:v>FTL-SEC-201, FTL-SEC-202, FTL-SEC-203, NEW-306, NEW-307, NEW-318</x:v>
      </x:c>
      <x:c r="E6" s="18" t="str">
        <x:v>STATIC_PARTIAL</x:v>
      </x:c>
    </x:row>
    <x:row r="7" ht="46" customHeight="1">
      <x:c r="A7" s="18" t="str">
        <x:v>04</x:v>
      </x:c>
      <x:c r="B7" s="18" t="str">
        <x:v>Authorization / RBAC</x:v>
      </x:c>
      <x:c r="C7" s="18" t="str">
        <x:v>Every API permission and role</x:v>
      </x:c>
      <x:c r="D7" s="18" t="str">
        <x:v>FTL-UI-201, SSO-01, NEW-322, NEW-328</x:v>
      </x:c>
      <x:c r="E7" s="18" t="str">
        <x:v>STATIC_PARTIAL</x:v>
      </x:c>
    </x:row>
    <x:row r="8" ht="46" customHeight="1">
      <x:c r="A8" s="18" t="str">
        <x:v>05</x:v>
      </x:c>
      <x:c r="B8" s="18" t="str">
        <x:v>IDOR / BOLA</x:v>
      </x:c>
      <x:c r="C8" s="18" t="str">
        <x:v>Cross-account resource access</x:v>
      </x:c>
      <x:c r="D8" s="18" t="str">
        <x:v>SEC-05, NEW-310, NEW-322</x:v>
      </x:c>
      <x:c r="E8" s="18" t="str">
        <x:v>STATIC_PARTIAL</x:v>
      </x:c>
    </x:row>
    <x:row r="9" ht="46" customHeight="1">
      <x:c r="A9" s="18" t="str">
        <x:v>06</x:v>
      </x:c>
      <x:c r="B9" s="18" t="str">
        <x:v>Multi-tenancy</x:v>
      </x:c>
      <x:c r="C9" s="18" t="str">
        <x:v>Organization/service separation</x:v>
      </x:c>
      <x:c r="D9" s="18" t="str">
        <x:v>SEC-05, SEC-06, NEW-310, NEW-322</x:v>
      </x:c>
      <x:c r="E9" s="18" t="str">
        <x:v>STATIC_PARTIAL</x:v>
      </x:c>
    </x:row>
    <x:row r="10" ht="46" customHeight="1">
      <x:c r="A10" s="18" t="str">
        <x:v>07</x:v>
      </x:c>
      <x:c r="B10" s="18" t="str">
        <x:v>API Security</x:v>
      </x:c>
      <x:c r="C10" s="18" t="str">
        <x:v>Request validation/mass assignment/rate limiting</x:v>
      </x:c>
      <x:c r="D10" s="18" t="str">
        <x:v>FTL-SEC-205, NEW-311, NEW-321, NEW-328</x:v>
      </x:c>
      <x:c r="E10" s="18" t="str">
        <x:v>STATIC_PARTIAL</x:v>
      </x:c>
    </x:row>
    <x:row r="11" ht="46" customHeight="1">
      <x:c r="A11" s="18" t="str">
        <x:v>08</x:v>
      </x:c>
      <x:c r="B11" s="18" t="str">
        <x:v>CSRF &amp; CORS</x:v>
      </x:c>
      <x:c r="C11" s="18" t="str">
        <x:v>Origin, cookies, CSRF all writes</x:v>
      </x:c>
      <x:c r="D11" s="18" t="str">
        <x:v>SEC-09</x:v>
      </x:c>
      <x:c r="E11" s="18" t="str">
        <x:v>RUNTIME_REQUIRED</x:v>
      </x:c>
    </x:row>
    <x:row r="12" ht="46" customHeight="1">
      <x:c r="A12" s="18" t="str">
        <x:v>09</x:v>
      </x:c>
      <x:c r="B12" s="18" t="str">
        <x:v>XSS &amp; HTML Injection</x:v>
      </x:c>
      <x:c r="C12" s="18" t="str">
        <x:v>Ticket/email/console/DOM output</x:v>
      </x:c>
      <x:c r="D12" s="18" t="str">
        <x:v>UI-06, MAIL-01</x:v>
      </x:c>
      <x:c r="E12" s="18" t="str">
        <x:v>STATIC_PARTIAL</x:v>
      </x:c>
    </x:row>
    <x:row r="13" ht="46" customHeight="1">
      <x:c r="A13" s="18" t="str">
        <x:v>10</x:v>
      </x:c>
      <x:c r="B13" s="18" t="str">
        <x:v>SQL / Command Injection</x:v>
      </x:c>
      <x:c r="C13" s="18" t="str">
        <x:v>SQL/shell/path/template injection</x:v>
      </x:c>
      <x:c r="D13" s="18" t="str">
        <x:v>NEW-310</x:v>
      </x:c>
      <x:c r="E13" s="18" t="str">
        <x:v>RUNTIME_REQUIRED</x:v>
      </x:c>
    </x:row>
    <x:row r="14" ht="46" customHeight="1">
      <x:c r="A14" s="18" t="str">
        <x:v>11</x:v>
      </x:c>
      <x:c r="B14" s="18" t="str">
        <x:v>SSRF</x:v>
      </x:c>
      <x:c r="C14" s="18" t="str">
        <x:v>Private IP, DNS rebinding, redirects</x:v>
      </x:c>
      <x:c r="D14" s="18" t="str">
        <x:v>SEC-08, NEW-314</x:v>
      </x:c>
      <x:c r="E14" s="18" t="str">
        <x:v>STATIC_PARTIAL</x:v>
      </x:c>
    </x:row>
    <x:row r="15" ht="46" customHeight="1">
      <x:c r="A15" s="18" t="str">
        <x:v>12</x:v>
      </x:c>
      <x:c r="B15" s="18" t="str">
        <x:v>Secrets &amp; Credentials</x:v>
      </x:c>
      <x:c r="C15" s="18" t="str">
        <x:v>Provider keys, vault, rotation</x:v>
      </x:c>
      <x:c r="D15" s="18" t="str">
        <x:v>NEW-313, SEC-02, NEW-323</x:v>
      </x:c>
      <x:c r="E15" s="18" t="str">
        <x:v>STATIC_PARTIAL</x:v>
      </x:c>
    </x:row>
    <x:row r="16" ht="46" customHeight="1">
      <x:c r="A16" s="18" t="str">
        <x:v>13</x:v>
      </x:c>
      <x:c r="B16" s="18" t="str">
        <x:v>Pterodactyl API</x:v>
      </x:c>
      <x:c r="C16" s="18" t="str">
        <x:v>Provider scoping &amp; ownership</x:v>
      </x:c>
      <x:c r="D16" s="18" t="str">
        <x:v>FTL-PROV-201, FTL-UI-202, NEW-322, NEW-323</x:v>
      </x:c>
      <x:c r="E16" s="18" t="str">
        <x:v>STATIC_PARTIAL</x:v>
      </x:c>
    </x:row>
    <x:row r="17" ht="46" customHeight="1">
      <x:c r="A17" s="18" t="str">
        <x:v>14</x:v>
      </x:c>
      <x:c r="B17" s="18" t="str">
        <x:v>Pterodactyl SSO</x:v>
      </x:c>
      <x:c r="C17" s="18" t="str">
        <x:v>OIDC callback, native reset, revoke</x:v>
      </x:c>
      <x:c r="D17" s="18" t="str">
        <x:v>SSO-01, SSO-02, SSO-03</x:v>
      </x:c>
      <x:c r="E17" s="18" t="str">
        <x:v>RUNTIME_REQUIRED</x:v>
      </x:c>
    </x:row>
    <x:row r="18" ht="46" customHeight="1">
      <x:c r="A18" s="18" t="str">
        <x:v>15</x:v>
      </x:c>
      <x:c r="B18" s="18" t="str">
        <x:v>Wings &amp; WebSockets</x:v>
      </x:c>
      <x:c r="C18" s="18" t="str">
        <x:v>Socket tokens, console, revocation</x:v>
      </x:c>
      <x:c r="D18" s="18" t="str">
        <x:v>FTL-UI-206</x:v>
      </x:c>
      <x:c r="E18" s="18" t="str">
        <x:v>RUNTIME_REQUIRED</x:v>
      </x:c>
    </x:row>
    <x:row r="19" ht="46" customHeight="1">
      <x:c r="A19" s="18" t="str">
        <x:v>16</x:v>
      </x:c>
      <x:c r="B19" s="18" t="str">
        <x:v>File Manager</x:v>
      </x:c>
      <x:c r="C19" s="18" t="str">
        <x:v>Traversal, archives, symlinks, quota</x:v>
      </x:c>
      <x:c r="D19" s="18" t="str">
        <x:v>NEW-314, NEW-321</x:v>
      </x:c>
      <x:c r="E19" s="18" t="str">
        <x:v>RUNTIME_REQUIRED</x:v>
      </x:c>
    </x:row>
    <x:row r="20" ht="46" customHeight="1">
      <x:c r="A20" s="18" t="str">
        <x:v>17</x:v>
      </x:c>
      <x:c r="B20" s="18" t="str">
        <x:v>Minecraft Installers</x:v>
      </x:c>
      <x:c r="C20" s="18" t="str">
        <x:v>SHA512, compatibility, redirect, limits</x:v>
      </x:c>
      <x:c r="D20" s="18" t="str">
        <x:v>NEW-314</x:v>
      </x:c>
      <x:c r="E20" s="18" t="str">
        <x:v>STATIC_PARTIAL</x:v>
      </x:c>
    </x:row>
    <x:row r="21" ht="46" customHeight="1">
      <x:c r="A21" s="18" t="str">
        <x:v>18</x:v>
      </x:c>
      <x:c r="B21" s="18" t="str">
        <x:v>Web App Isolation</x:v>
      </x:c>
      <x:c r="C21" s="18" t="str">
        <x:v>Container isolation, network, privilege</x:v>
      </x:c>
      <x:c r="D21" s="18" t="str">
        <x:v>FTL-PROV-201</x:v>
      </x:c>
      <x:c r="E21" s="18" t="str">
        <x:v>RUNTIME_REQUIRED</x:v>
      </x:c>
    </x:row>
    <x:row r="22" ht="46" customHeight="1">
      <x:c r="A22" s="18" t="str">
        <x:v>19</x:v>
      </x:c>
      <x:c r="B22" s="18" t="str">
        <x:v>Stripe &amp; Payments</x:v>
      </x:c>
      <x:c r="C22" s="18" t="str">
        <x:v>Signatures, replay, idempotency, ordering</x:v>
      </x:c>
      <x:c r="D22" s="18" t="str">
        <x:v>FTL-BILL-201, FTL-BILL-203, FTL-BILL-204, FTL-BILL-206, NEW-324</x:v>
      </x:c>
      <x:c r="E22" s="18" t="str">
        <x:v>STATIC_PARTIAL</x:v>
      </x:c>
    </x:row>
    <x:row r="23" ht="46" customHeight="1">
      <x:c r="A23" s="18" t="str">
        <x:v>20</x:v>
      </x:c>
      <x:c r="B23" s="18" t="str">
        <x:v>Billing &amp; Subscriptions</x:v>
      </x:c>
      <x:c r="C23" s="18" t="str">
        <x:v>Renewal, refunds, tax, coupons, invoices</x:v>
      </x:c>
      <x:c r="D23" s="18" t="str">
        <x:v>FTL-BILL-202, FTL-BILL-205, NEW-301, NEW-303, NEW-304, NEW-305, NEW-316, NEW-319, NEW-324</x:v>
      </x:c>
      <x:c r="E23" s="18" t="str">
        <x:v>STATIC_PARTIAL</x:v>
      </x:c>
    </x:row>
    <x:row r="24" ht="46" customHeight="1">
      <x:c r="A24" s="18" t="str">
        <x:v>21</x:v>
      </x:c>
      <x:c r="B24" s="18" t="str">
        <x:v>Provisioning</x:v>
      </x:c>
      <x:c r="C24" s="18" t="str">
        <x:v>Node, cap, retry, lifecycle</x:v>
      </x:c>
      <x:c r="D24" s="18" t="str">
        <x:v>FTL-PROV-201, FTL-PROV-202, FTL-PROV-203, FTL-PROV-204, NEW-302, NEW-322, NEW-327</x:v>
      </x:c>
      <x:c r="E24" s="18" t="str">
        <x:v>STATIC_PARTIAL</x:v>
      </x:c>
    </x:row>
    <x:row r="25" ht="46" customHeight="1">
      <x:c r="A25" s="18" t="str">
        <x:v>22</x:v>
      </x:c>
      <x:c r="B25" s="18" t="str">
        <x:v>cPanel / WHM</x:v>
      </x:c>
      <x:c r="C25" s="18" t="str">
        <x:v>Permission, lifecycle, safe API</x:v>
      </x:c>
      <x:c r="D25" s="18" t="str">
        <x:v>FTL-PROV-201, SEC-08</x:v>
      </x:c>
      <x:c r="E25" s="18" t="str">
        <x:v>RUNTIME_REQUIRED</x:v>
      </x:c>
    </x:row>
    <x:row r="26" ht="46" customHeight="1">
      <x:c r="A26" s="18" t="str">
        <x:v>23</x:v>
      </x:c>
      <x:c r="B26" s="18" t="str">
        <x:v>Proxmox / VPS</x:v>
      </x:c>
      <x:c r="C26" s="18" t="str">
        <x:v>VM isolation, templates, snapshots</x:v>
      </x:c>
      <x:c r="D26" s="18" t="str">
        <x:v>FTL-PROV-201, NEW-326, NEW-327</x:v>
      </x:c>
      <x:c r="E26" s="18" t="str">
        <x:v>RUNTIME_REQUIRED</x:v>
      </x:c>
    </x:row>
    <x:row r="27" ht="46" customHeight="1">
      <x:c r="A27" s="18" t="str">
        <x:v>24</x:v>
      </x:c>
      <x:c r="B27" s="18" t="str">
        <x:v>DNS &amp; Domains</x:v>
      </x:c>
      <x:c r="C27" s="18" t="str">
        <x:v>Ownership, delegation, DNS records</x:v>
      </x:c>
      <x:c r="D27" s="18" t="str">
        <x:v>FTL-DNS-201, FTL-DNS-202</x:v>
      </x:c>
      <x:c r="E27" s="18" t="str">
        <x:v>STATIC_PARTIAL</x:v>
      </x:c>
    </x:row>
    <x:row r="28" ht="46" customHeight="1">
      <x:c r="A28" s="18" t="str">
        <x:v>25</x:v>
      </x:c>
      <x:c r="B28" s="18" t="str">
        <x:v>Database Security</x:v>
      </x:c>
      <x:c r="C28" s="18" t="str">
        <x:v>Transactions, migrations, corruption</x:v>
      </x:c>
      <x:c r="D28" s="18" t="str">
        <x:v>NEW-308, NEW-309, NEW-321</x:v>
      </x:c>
      <x:c r="E28" s="18" t="str">
        <x:v>STATIC_PARTIAL</x:v>
      </x:c>
    </x:row>
    <x:row r="29" ht="46" customHeight="1">
      <x:c r="A29" s="18" t="str">
        <x:v>26</x:v>
      </x:c>
      <x:c r="B29" s="18" t="str">
        <x:v>Background Workers</x:v>
      </x:c>
      <x:c r="C29" s="18" t="str">
        <x:v>Job leases, ordering, retry, dead letters</x:v>
      </x:c>
      <x:c r="D29" s="18" t="str">
        <x:v>FTL-PROV-203, FTL-BILL-202</x:v>
      </x:c>
      <x:c r="E29" s="18" t="str">
        <x:v>STATIC_PARTIAL</x:v>
      </x:c>
    </x:row>
    <x:row r="30" ht="46" customHeight="1">
      <x:c r="A30" s="18" t="str">
        <x:v>27</x:v>
      </x:c>
      <x:c r="B30" s="18" t="str">
        <x:v>Infrastructure &amp; Network</x:v>
      </x:c>
      <x:c r="C30" s="18" t="str">
        <x:v>TLS, reverse proxy, firewall, ports</x:v>
      </x:c>
      <x:c r="D30" s="18" t="str">
        <x:v>SEC-10</x:v>
      </x:c>
      <x:c r="E30" s="18" t="str">
        <x:v>RUNTIME_REQUIRED</x:v>
      </x:c>
    </x:row>
    <x:row r="31" ht="46" customHeight="1">
      <x:c r="A31" s="18" t="str">
        <x:v>28</x:v>
      </x:c>
      <x:c r="B31" s="18" t="str">
        <x:v>Dependency &amp; Supply Chain</x:v>
      </x:c>
      <x:c r="C31" s="18" t="str">
        <x:v>npm SCA, CI secrets, pinning</x:v>
      </x:c>
      <x:c r="D31" s="18" t="str">
        <x:v>SEC-09</x:v>
      </x:c>
      <x:c r="E31" s="18" t="str">
        <x:v>NOT_STARTED</x:v>
      </x:c>
    </x:row>
    <x:row r="32" ht="46" customHeight="1">
      <x:c r="A32" s="18" t="str">
        <x:v>29</x:v>
      </x:c>
      <x:c r="B32" s="18" t="str">
        <x:v>Backups &amp; Recovery</x:v>
      </x:c>
      <x:c r="C32" s="18" t="str">
        <x:v>Encrypted backups, restore integrity</x:v>
      </x:c>
      <x:c r="D32" s="18" t="str">
        <x:v>NEW-308, NEW-309, NEW-313, NEW-327</x:v>
      </x:c>
      <x:c r="E32" s="18" t="str">
        <x:v>STATIC_PARTIAL</x:v>
      </x:c>
    </x:row>
    <x:row r="33" ht="46" customHeight="1">
      <x:c r="A33" s="18" t="str">
        <x:v>30</x:v>
      </x:c>
      <x:c r="B33" s="18" t="str">
        <x:v>Logging &amp; Monitoring</x:v>
      </x:c>
      <x:c r="C33" s="18" t="str">
        <x:v>Audit integrity, alerts, events</x:v>
      </x:c>
      <x:c r="D33" s="18" t="str">
        <x:v>SEC-09, NEW-322</x:v>
      </x:c>
      <x:c r="E33" s="18" t="str">
        <x:v>RUNTIME_REQUIRED</x:v>
      </x:c>
    </x:row>
  </x:sheetData>
  <x:mergeCells>
    <x:mergeCell ref="A1:E1"/>
    <x:mergeCell ref="A2:E2"/>
  </x:mergeCells>
  <x:dataValidations count="1">
    <x:dataValidation type="list" sqref="E4:E33">
      <x:formula1>"NOT_STARTED,STATIC_PARTIAL,RUNTIME_REQUIRED,TESTED,CLOSED"</x:formula1>
    </x:dataValidation>
  </x:dataValidations>
  <x:pageMargins left="0.7" right="0.7" top="0.75" bottom="0.75" header="0.3" footer="0.3"/>
  <x:tableParts count="1">
    <x:tablePart xmlns:r="http://schemas.openxmlformats.org/officeDocument/2006/relationships" r:id="R713fc674367a4f18"/>
  </x:tableParts>
</x:worksheet>
</file>

<file path=xl/worksheets/sheet4.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4" hidden="0" customWidth="1"/>
    <x:col min="2" max="2" width="18" hidden="0" customWidth="1"/>
    <x:col min="3" max="3" width="38" hidden="0" customWidth="1"/>
    <x:col min="4" max="4" width="57" hidden="0" customWidth="1"/>
    <x:col min="5" max="5" width="27" hidden="0" customWidth="1"/>
    <x:col min="6" max="6" width="44" hidden="0" customWidth="1"/>
  </x:cols>
  <x:sheetData>
    <x:row r="1" ht="36" customHeight="1">
      <x:c r="A1" s="3" t="str">
        <x:v>FORTLESS   /   COMMIT &amp; AUDIT HISTORY</x:v>
      </x:c>
      <x:c r="B1" s="3"/>
      <x:c r="C1" s="3"/>
      <x:c r="D1" s="3"/>
      <x:c r="E1" s="3"/>
      <x:c r="F1" s="3"/>
    </x:row>
    <x:row r="2" ht="26" customHeight="1">
      <x:c r="A2" s="64" t="str">
        <x:v>Append new rows after each pushed SHA. Never rewrite previous audit history.</x:v>
      </x:c>
      <x:c r="B2" s="64"/>
      <x:c r="C2" s="64"/>
      <x:c r="D2" s="64"/>
      <x:c r="E2" s="64"/>
      <x:c r="F2" s="64"/>
    </x:row>
    <x:row r="3" ht="29" customHeight="1">
      <x:c r="A3" s="38" t="str">
        <x:v>Local time (Bucharest)</x:v>
      </x:c>
      <x:c r="B3" s="38" t="str">
        <x:v>Commit SHA</x:v>
      </x:c>
      <x:c r="C3" s="38" t="str">
        <x:v>Summary</x:v>
      </x:c>
      <x:c r="D3" s="38" t="str">
        <x:v>What changed / observation</x:v>
      </x:c>
      <x:c r="E3" s="38" t="str">
        <x:v>Validation level</x:v>
      </x:c>
      <x:c r="F3" s="38" t="str">
        <x:v>Reference</x:v>
      </x:c>
    </x:row>
    <x:row r="4" ht="49" customHeight="1">
      <x:c r="A4" s="67" t="str">
        <x:v>2026-10-19 02:04</x:v>
      </x:c>
      <x:c r="B4" s="67" t="str">
        <x:v>9dacfcb</x:v>
      </x:c>
      <x:c r="C4" s="67" t="str">
        <x:v>Initial source baseline</x:v>
      </x:c>
      <x:c r="D4" s="67" t="str">
        <x:v>Initial vulnerabilities; canonical views/email audit</x:v>
      </x:c>
      <x:c r="E4" s="67" t="str">
        <x:v>Static GitHub source read</x:v>
      </x:c>
      <x:c r="F4" s="67" t="str">
        <x:v>Initial audit 2026-10-19</x:v>
      </x:c>
    </x:row>
    <x:row r="5" ht="49" customHeight="1">
      <x:c r="A5" s="67" t="str">
        <x:v>2026-10-19 02:51</x:v>
      </x:c>
      <x:c r="B5" s="67" t="str">
        <x:v>18ed0c4</x:v>
      </x:c>
      <x:c r="C5" s="67" t="str">
        <x:v>Security hardening and Petal adjustments</x:v>
      </x:c>
      <x:c r="D5" s="67" t="str">
        <x:v>Email, sessions, notifications patched; Stripe and Ptero issues remain</x:v>
      </x:c>
      <x:c r="E5" s="67" t="str">
        <x:v>Static diff / sources</x:v>
      </x:c>
      <x:c r="F5" s="67" t="str">
        <x:v>Not independent test execution</x:v>
      </x:c>
    </x:row>
    <x:row r="6" ht="49" customHeight="1">
      <x:c r="A6" s="67" t="str">
        <x:v>2026-10-19 02:58</x:v>
      </x:c>
      <x:c r="B6" s="67" t="str">
        <x:v>24d7666</x:v>
      </x:c>
      <x:c r="C6" s="67" t="str">
        <x:v>Petal UI theme fixes</x:v>
      </x:c>
      <x:c r="D6" s="67" t="str">
        <x:v>UI parity remains unverified</x:v>
      </x:c>
      <x:c r="E6" s="67" t="str">
        <x:v>Code change</x:v>
      </x:c>
      <x:c r="F6" s="67" t="str">
        <x:v>No pixel diff</x:v>
      </x:c>
    </x:row>
    <x:row r="7" ht="49" customHeight="1">
      <x:c r="A7" s="67" t="str">
        <x:v>2026-10-19 03:05</x:v>
      </x:c>
      <x:c r="B7" s="67" t="str">
        <x:v>5b4060b</x:v>
      </x:c>
      <x:c r="C7" s="67" t="str">
        <x:v>Mobile theme and sign out</x:v>
      </x:c>
      <x:c r="D7" s="67" t="str">
        <x:v>Runtime QA pending</x:v>
      </x:c>
      <x:c r="E7" s="67" t="str">
        <x:v>Code change</x:v>
      </x:c>
      <x:c r="F7" s="67" t="str">
        <x:v>No browser tests</x:v>
      </x:c>
    </x:row>
    <x:row r="8" ht="49" customHeight="1">
      <x:c r="A8" s="67" t="str">
        <x:v>2026-10-19 03:10</x:v>
      </x:c>
      <x:c r="B8" s="67" t="str">
        <x:v>5ef7831</x:v>
      </x:c>
      <x:c r="C8" s="67" t="str">
        <x:v>Status navbar fixes</x:v>
      </x:c>
      <x:c r="D8" s="67" t="str">
        <x:v>UI QA pending</x:v>
      </x:c>
      <x:c r="E8" s="67" t="str">
        <x:v>Code change</x:v>
      </x:c>
      <x:c r="F8" s="67" t="str">
        <x:v>No browser tests</x:v>
      </x:c>
    </x:row>
    <x:row r="9" ht="49" customHeight="1">
      <x:c r="A9" s="67" t="str">
        <x:v>2026-10-19 03:15</x:v>
      </x:c>
      <x:c r="B9" s="67" t="str">
        <x:v>6203687</x:v>
      </x:c>
      <x:c r="C9" s="67" t="str">
        <x:v>Public nav animation and view transitions</x:v>
      </x:c>
      <x:c r="D9" s="67" t="str">
        <x:v>Latest HEAD; reviewed two post-push passes + incremental third</x:v>
      </x:c>
      <x:c r="E9" s="67" t="str">
        <x:v>Static GitHub source read</x:v>
      </x:c>
      <x:c r="F9" s="67" t="str">
        <x:v>No new push after 6203687 at tracker creation</x:v>
      </x:c>
    </x:row>
    <x:row r="10" ht="54" customHeight="1">
      <x:c r="A10" s="18" t="str">
        <x:v>2026-10-19</x:v>
      </x:c>
      <x:c r="B10" s="18" t="str">
        <x:v>6203687</x:v>
      </x:c>
      <x:c r="C10" s="18" t="str">
        <x:v>Additional same-commit static audit</x:v>
      </x:c>
      <x:c r="D10" s="18" t="str">
        <x:v>11 NEW-319…329 findings; previous 63 statuses unchanged because no new commit and no independent runtime tests</x:v>
      </x:c>
      <x:c r="E10" s="18" t="str">
        <x:v>STATIC_SOURCE_ONLY</x:v>
      </x:c>
      <x:c r="F10" s="18" t="str">
        <x:v>Same HEAD 6203687; not a new push</x:v>
      </x:c>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6" hidden="0" customWidth="1"/>
    <x:col min="2" max="2" width="18" hidden="0" customWidth="1"/>
    <x:col min="3" max="3" width="17" hidden="0" customWidth="1"/>
    <x:col min="4" max="4" width="22" hidden="0" customWidth="1"/>
    <x:col min="5" max="5" width="22" hidden="0" customWidth="1"/>
    <x:col min="6" max="6" width="23" hidden="0" customWidth="1"/>
    <x:col min="7" max="7" width="75" hidden="0" customWidth="1"/>
  </x:cols>
  <x:sheetData>
    <x:row r="1" ht="36" customHeight="1">
      <x:c r="A1" s="3" t="str">
        <x:v>FORTLESS   /   IMMUTABLE STATUS HISTORY</x:v>
      </x:c>
      <x:c r="B1" s="3"/>
      <x:c r="C1" s="3"/>
      <x:c r="D1" s="3"/>
      <x:c r="E1" s="3"/>
      <x:c r="F1" s="3"/>
      <x:c r="G1" s="3"/>
    </x:row>
    <x:row r="2" ht="27" customHeight="1">
      <x:c r="A2" s="64" t="str">
        <x:v>For future pushes, append date/SHA/finding/from/to/proof. Do not delete historical entries.</x:v>
      </x:c>
      <x:c r="B2" s="64"/>
      <x:c r="C2" s="64"/>
      <x:c r="D2" s="64"/>
      <x:c r="E2" s="64"/>
      <x:c r="F2" s="64"/>
      <x:c r="G2" s="64"/>
    </x:row>
    <x:row r="3" ht="28" customHeight="1">
      <x:c r="A3" s="38" t="str">
        <x:v>Date</x:v>
      </x:c>
      <x:c r="B3" s="38" t="str">
        <x:v>Verified commit</x:v>
      </x:c>
      <x:c r="C3" s="38" t="str">
        <x:v>Finding ID</x:v>
      </x:c>
      <x:c r="D3" s="38" t="str">
        <x:v>From</x:v>
      </x:c>
      <x:c r="E3" s="38" t="str">
        <x:v>To</x:v>
      </x:c>
      <x:c r="F3" s="38" t="str">
        <x:v>Method</x:v>
      </x:c>
      <x:c r="G3" s="38" t="str">
        <x:v>Evidence / rationale</x:v>
      </x:c>
    </x:row>
    <x:row r="4" ht="32" customHeight="1">
      <x:c r="A4" s="66" t="str">
        <x:v>2026-10-19</x:v>
      </x:c>
      <x:c r="B4" s="66" t="str">
        <x:v>6203687</x:v>
      </x:c>
      <x:c r="C4" s="66" t="str">
        <x:v>SEC-01</x:v>
      </x:c>
      <x:c r="D4" s="66" t="str">
        <x:v>OPEN</x:v>
      </x:c>
      <x:c r="E4" s="66" t="str">
        <x:v>FIXED_IN_CODE</x:v>
      </x:c>
      <x:c r="F4" s="66" t="str">
        <x:v>Source inspection</x:v>
      </x:c>
      <x:c r="G4" s="66" t="str">
        <x:v>Removed SMTP TLS bypass</x:v>
      </x:c>
    </x:row>
    <x:row r="5" ht="32" customHeight="1">
      <x:c r="A5" s="66" t="str">
        <x:v>2026-10-19</x:v>
      </x:c>
      <x:c r="B5" s="66" t="str">
        <x:v>6203687</x:v>
      </x:c>
      <x:c r="C5" s="66" t="str">
        <x:v>SEC-02</x:v>
      </x:c>
      <x:c r="D5" s="66" t="str">
        <x:v>OPEN</x:v>
      </x:c>
      <x:c r="E5" s="66" t="str">
        <x:v>FIXED_IN_CODE</x:v>
      </x:c>
      <x:c r="F5" s="66" t="str">
        <x:v>Source inspection</x:v>
      </x:c>
      <x:c r="G5" s="66" t="str">
        <x:v>Live SMTP fails closed</x:v>
      </x:c>
    </x:row>
    <x:row r="6" ht="32" customHeight="1">
      <x:c r="A6" s="66" t="str">
        <x:v>2026-10-19</x:v>
      </x:c>
      <x:c r="B6" s="66" t="str">
        <x:v>6203687</x:v>
      </x:c>
      <x:c r="C6" s="66" t="str">
        <x:v>SEC-03</x:v>
      </x:c>
      <x:c r="D6" s="66" t="str">
        <x:v>OPEN</x:v>
      </x:c>
      <x:c r="E6" s="66" t="str">
        <x:v>FIXED_IN_CODE</x:v>
      </x:c>
      <x:c r="F6" s="66" t="str">
        <x:v>Source inspection</x:v>
      </x:c>
      <x:c r="G6" s="66" t="str">
        <x:v>Device identity replaces User-Agent dedup</x:v>
      </x:c>
    </x:row>
    <x:row r="7" ht="32" customHeight="1">
      <x:c r="A7" s="66" t="str">
        <x:v>2026-10-19</x:v>
      </x:c>
      <x:c r="B7" s="66" t="str">
        <x:v>6203687</x:v>
      </x:c>
      <x:c r="C7" s="66" t="str">
        <x:v>SEC-04</x:v>
      </x:c>
      <x:c r="D7" s="66" t="str">
        <x:v>OPEN</x:v>
      </x:c>
      <x:c r="E7" s="66" t="str">
        <x:v>PARTIAL</x:v>
      </x:c>
      <x:c r="F7" s="66" t="str">
        <x:v>Source inspection</x:v>
      </x:c>
      <x:c r="G7" s="66" t="str">
        <x:v>MFA challenge TTL corrected; cumulative bypass still open</x:v>
      </x:c>
    </x:row>
    <x:row r="8" ht="32" customHeight="1">
      <x:c r="A8" s="66" t="str">
        <x:v>2026-10-19</x:v>
      </x:c>
      <x:c r="B8" s="66" t="str">
        <x:v>6203687</x:v>
      </x:c>
      <x:c r="C8" s="66" t="str">
        <x:v>SEC-05</x:v>
      </x:c>
      <x:c r="D8" s="66" t="str">
        <x:v>OPEN</x:v>
      </x:c>
      <x:c r="E8" s="66" t="str">
        <x:v>FIXED_IN_CODE</x:v>
      </x:c>
      <x:c r="F8" s="66" t="str">
        <x:v>Source inspection</x:v>
      </x:c>
      <x:c r="G8" s="66" t="str">
        <x:v>Notification user scope enforced</x:v>
      </x:c>
    </x:row>
    <x:row r="9" ht="32" customHeight="1">
      <x:c r="A9" s="66" t="str">
        <x:v>2026-10-19</x:v>
      </x:c>
      <x:c r="B9" s="66" t="str">
        <x:v>6203687</x:v>
      </x:c>
      <x:c r="C9" s="66" t="str">
        <x:v>SEC-06</x:v>
      </x:c>
      <x:c r="D9" s="66" t="str">
        <x:v>OPEN</x:v>
      </x:c>
      <x:c r="E9" s="66" t="str">
        <x:v>FIXED_IN_CODE</x:v>
      </x:c>
      <x:c r="F9" s="66" t="str">
        <x:v>Source inspection</x:v>
      </x:c>
      <x:c r="G9" s="66" t="str">
        <x:v>Email status default scoped to recipient</x:v>
      </x:c>
    </x:row>
    <x:row r="10" ht="32" customHeight="1">
      <x:c r="A10" s="66" t="str">
        <x:v>2026-10-19</x:v>
      </x:c>
      <x:c r="B10" s="66" t="str">
        <x:v>6203687</x:v>
      </x:c>
      <x:c r="C10" s="66" t="str">
        <x:v>SEC-07</x:v>
      </x:c>
      <x:c r="D10" s="66" t="str">
        <x:v>OPEN</x:v>
      </x:c>
      <x:c r="E10" s="66" t="str">
        <x:v>FIXED_IN_CODE</x:v>
      </x:c>
      <x:c r="F10" s="66" t="str">
        <x:v>Source inspection</x:v>
      </x:c>
      <x:c r="G10" s="66" t="str">
        <x:v>Mode-only production verification removed</x:v>
      </x:c>
    </x:row>
    <x:row r="11" ht="32" customHeight="1">
      <x:c r="A11" s="66" t="str">
        <x:v>2026-10-19</x:v>
      </x:c>
      <x:c r="B11" s="66" t="str">
        <x:v>6203687</x:v>
      </x:c>
      <x:c r="C11" s="66" t="str">
        <x:v>SEC-08</x:v>
      </x:c>
      <x:c r="D11" s="66" t="str">
        <x:v>OPEN</x:v>
      </x:c>
      <x:c r="E11" s="66" t="str">
        <x:v>PARTIAL</x:v>
      </x:c>
      <x:c r="F11" s="66" t="str">
        <x:v>Source inspection</x:v>
      </x:c>
      <x:c r="G11" s="66" t="str">
        <x:v>Provider redirects forbidden, DNS pin remains</x:v>
      </x:c>
    </x:row>
    <x:row r="12" ht="32" customHeight="1">
      <x:c r="A12" s="66" t="str">
        <x:v>2026-10-19</x:v>
      </x:c>
      <x:c r="B12" s="66" t="str">
        <x:v>6203687</x:v>
      </x:c>
      <x:c r="C12" s="66" t="str">
        <x:v>UI-01</x:v>
      </x:c>
      <x:c r="D12" s="66" t="str">
        <x:v>OPEN</x:v>
      </x:c>
      <x:c r="E12" s="66" t="str">
        <x:v>PARTIAL</x:v>
      </x:c>
      <x:c r="F12" s="66" t="str">
        <x:v>Source inspection</x:v>
      </x:c>
      <x:c r="G12" s="66" t="str">
        <x:v>Updated screenshot URLs; no pixel reference matching</x:v>
      </x:c>
    </x:row>
    <x:row r="13" ht="32" customHeight="1">
      <x:c r="A13" s="66" t="str">
        <x:v>2026-10-19</x:v>
      </x:c>
      <x:c r="B13" s="66" t="str">
        <x:v>6203687</x:v>
      </x:c>
      <x:c r="C13" s="66" t="str">
        <x:v>UI-08</x:v>
      </x:c>
      <x:c r="D13" s="66" t="str">
        <x:v>OPEN</x:v>
      </x:c>
      <x:c r="E13" s="66" t="str">
        <x:v>FIXED_IN_CODE</x:v>
      </x:c>
      <x:c r="F13" s="66" t="str">
        <x:v>Source inspection</x:v>
      </x:c>
      <x:c r="G13" s="66" t="str">
        <x:v>Terminated service no longer displays Manage</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6" hidden="0" customWidth="1"/>
    <x:col min="2" max="2" width="25" hidden="0" customWidth="1"/>
    <x:col min="3" max="3" width="40" hidden="0" customWidth="1"/>
    <x:col min="4" max="4" width="100" hidden="0" customWidth="1"/>
  </x:cols>
  <x:sheetData>
    <x:row r="1" ht="36" customHeight="1">
      <x:c r="A1" s="3" t="str">
        <x:v>FORTLESS   /   PRODUCT IDEAS (NOT BUGS)</x:v>
      </x:c>
      <x:c r="B1" s="3"/>
      <x:c r="C1" s="3"/>
      <x:c r="D1" s="3"/>
    </x:row>
    <x:row r="2" ht="28" customHeight="1">
      <x:c r="A2" s="64" t="str">
        <x:v>Aspirations are not automatically coding assignments. Keep separated from security release blockers.</x:v>
      </x:c>
      <x:c r="B2" s="64"/>
      <x:c r="C2" s="64"/>
      <x:c r="D2" s="64"/>
    </x:row>
    <x:row r="3" ht="28" customHeight="1">
      <x:c r="A3" s="38" t="str">
        <x:v>ID</x:v>
      </x:c>
      <x:c r="B3" s="38" t="str">
        <x:v>Area</x:v>
      </x:c>
      <x:c r="C3" s="38" t="str">
        <x:v>Concept</x:v>
      </x:c>
      <x:c r="D3" s="38" t="str">
        <x:v>Description</x:v>
      </x:c>
    </x:row>
    <x:row r="4" ht="42" customHeight="1">
      <x:c r="A4" s="66" t="str">
        <x:v>IDEA-01</x:v>
      </x:c>
      <x:c r="B4" s="66" t="str">
        <x:v>Gaming &amp; Bots</x:v>
      </x:c>
      <x:c r="C4" s="66" t="str">
        <x:v>Minecraft intelligent install</x:v>
      </x:c>
      <x:c r="D4" s="66" t="str">
        <x:v>Version-aware Paper/Purpur/Fabric/Forge/NeoForge, compatibility, upgrade backup and rollback</x:v>
      </x:c>
    </x:row>
    <x:row r="5" ht="42" customHeight="1">
      <x:c r="A5" s="66" t="str">
        <x:v>IDEA-02</x:v>
      </x:c>
      <x:c r="B5" s="66" t="str">
        <x:v>Gaming &amp; Bots</x:v>
      </x:c>
      <x:c r="C5" s="66" t="str">
        <x:v>Modrinth version &amp; dependency orchestration</x:v>
      </x:c>
      <x:c r="D5" s="66" t="str">
        <x:v>Modpack lockfile, checksums, installs/uninstalls, dependency graph</x:v>
      </x:c>
    </x:row>
    <x:row r="6" ht="42" customHeight="1">
      <x:c r="A6" s="66" t="str">
        <x:v>IDEA-03</x:v>
      </x:c>
      <x:c r="B6" s="66" t="str">
        <x:v>Gaming &amp; Bots</x:v>
      </x:c>
      <x:c r="C6" s="66" t="str">
        <x:v>World &amp; crash management</x:v>
      </x:c>
      <x:c r="D6" s="66" t="str">
        <x:v>World backup/restore, safe server.properties, spark/timings diagnostics</x:v>
      </x:c>
    </x:row>
    <x:row r="7" ht="42" customHeight="1">
      <x:c r="A7" s="66" t="str">
        <x:v>IDEA-04</x:v>
      </x:c>
      <x:c r="B7" s="66" t="str">
        <x:v>Gaming &amp; Bots</x:v>
      </x:c>
      <x:c r="C7" s="66" t="str">
        <x:v>Game-specific operations</x:v>
      </x:c>
      <x:c r="D7" s="66" t="str">
        <x:v>FiveM, Rust, Palworld, Valheim workflows tied to verified eggs</x:v>
      </x:c>
    </x:row>
    <x:row r="8" ht="42" customHeight="1">
      <x:c r="A8" s="66" t="str">
        <x:v>IDEA-05</x:v>
      </x:c>
      <x:c r="B8" s="66" t="str">
        <x:v>Gaming &amp; Bots</x:v>
      </x:c>
      <x:c r="C8" s="66" t="str">
        <x:v>Discord bot deployment</x:v>
      </x:c>
      <x:c r="D8" s="66" t="str">
        <x:v>Git apps, bot token vault, logs, secrets and crash loops</x:v>
      </x:c>
    </x:row>
    <x:row r="9" ht="42" customHeight="1">
      <x:c r="A9" s="66" t="str">
        <x:v>IDEA-06</x:v>
      </x:c>
      <x:c r="B9" s="66" t="str">
        <x:v>Web Applications</x:v>
      </x:c>
      <x:c r="C9" s="66" t="str">
        <x:v>GitHub/GitLab CI-style deployment</x:v>
      </x:c>
      <x:c r="D9" s="66" t="str">
        <x:v>OAuth, branch, webhooks, deploy history, build logs, rollback</x:v>
      </x:c>
    </x:row>
    <x:row r="10" ht="42" customHeight="1">
      <x:c r="A10" s="66" t="str">
        <x:v>IDEA-07</x:v>
      </x:c>
      <x:c r="B10" s="66" t="str">
        <x:v>Web Applications</x:v>
      </x:c>
      <x:c r="C10" s="66" t="str">
        <x:v>Managed runtime presets</x:v>
      </x:c>
      <x:c r="D10" s="66" t="str">
        <x:v>Node/Next.js/Bun/Python templates with strict workload isolation</x:v>
      </x:c>
    </x:row>
    <x:row r="11" ht="42" customHeight="1">
      <x:c r="A11" s="66" t="str">
        <x:v>IDEA-08</x:v>
      </x:c>
      <x:c r="B11" s="66" t="str">
        <x:v>Web Applications</x:v>
      </x:c>
      <x:c r="C11" s="66" t="str">
        <x:v>Custom domains &amp; TLS</x:v>
      </x:c>
      <x:c r="D11" s="66" t="str">
        <x:v>Domain proof, cert issuance, health checks and preview domains</x:v>
      </x:c>
    </x:row>
    <x:row r="12" ht="42" customHeight="1">
      <x:c r="A12" s="66" t="str">
        <x:v>IDEA-09</x:v>
      </x:c>
      <x:c r="B12" s="66" t="str">
        <x:v>Infrastructure</x:v>
      </x:c>
      <x:c r="C12" s="66" t="str">
        <x:v>Dedicated provider-specific UI</x:v>
      </x:c>
      <x:c r="D12" s="66" t="str">
        <x:v>Ptero vs cPanel vs Proxmox provider-driven action and capabilities</x:v>
      </x:c>
    </x:row>
    <x:row r="13" ht="42" customHeight="1">
      <x:c r="A13" s="66" t="str">
        <x:v>IDEA-10</x:v>
      </x:c>
      <x:c r="B13" s="66" t="str">
        <x:v>Infrastructure</x:v>
      </x:c>
      <x:c r="C13" s="66" t="str">
        <x:v>VPS &amp; network ops</x:v>
      </x:c>
      <x:c r="D13" s="66" t="str">
        <x:v>Proxmox snapshots, VNC, SSH keys, firewall, resource metrics</x:v>
      </x:c>
    </x:row>
    <x:row r="14" ht="42" customHeight="1">
      <x:c r="A14" s="66" t="str">
        <x:v>IDEA-11</x:v>
      </x:c>
      <x:c r="B14" s="66" t="str">
        <x:v>Operations</x:v>
      </x:c>
      <x:c r="C14" s="66" t="str">
        <x:v>WHMCS-grade support/backoffice</x:v>
      </x:c>
      <x:c r="D14" s="66" t="str">
        <x:v>Client 360, fraud flags, invoice reconciliation, SLA workflows</x:v>
      </x:c>
    </x:row>
    <x:row r="15" ht="42" customHeight="1">
      <x:c r="A15" s="66" t="str">
        <x:v>IDEA-12</x:v>
      </x:c>
      <x:c r="B15" s="66" t="str">
        <x:v>Operations</x:v>
      </x:c>
      <x:c r="C15" s="66" t="str">
        <x:v>Stripe-quality contextual UI</x:v>
      </x:c>
      <x:c r="D15" s="66" t="str">
        <x:v>Hide invalid actions, optimistic only when safe, async route cancellation, clear state semantics</x:v>
      </x:c>
    </x:row>
  </x:sheetData>
  <x:mergeCells>
    <x:mergeCell ref="A1:D1"/>
    <x:mergeCell ref="A2:D2"/>
  </x:mergeCells>
  <x:pageMargins left="0.7" right="0.7" top="0.75" bottom="0.75" header="0.3" footer="0.3"/>
</x:worksheet>
</file>

<file path=xl/worksheets/sheet7.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9" hidden="0" customWidth="1"/>
    <x:col min="2" max="2" width="39" hidden="0" customWidth="1"/>
    <x:col min="3" max="3" width="89" hidden="0" customWidth="1"/>
    <x:col min="4" max="4" width="74" hidden="0" customWidth="1"/>
  </x:cols>
  <x:sheetData>
    <x:row r="1" ht="41" customHeight="1">
      <x:c r="A1" s="70" t="str">
        <x:v>FORTLESS   /   HOW WE MAINTAIN THIS REGISTER</x:v>
      </x:c>
      <x:c r="B1" s="70"/>
      <x:c r="C1" s="70"/>
      <x:c r="D1" s="70"/>
    </x:row>
    <x:row r="3" ht="29" customHeight="1">
      <x:c r="A3" s="38" t="str">
        <x:v>Step</x:v>
      </x:c>
      <x:c r="B3" s="38" t="str">
        <x:v>Action</x:v>
      </x:c>
      <x:c r="C3" s="38" t="str">
        <x:v>Rule</x:v>
      </x:c>
      <x:c r="D3" s="38" t="str">
        <x:v>Caveat</x:v>
      </x:c>
    </x:row>
    <x:row r="4" ht="62" customHeight="1">
      <x:c r="A4" s="67" t="str">
        <x:v>01</x:v>
      </x:c>
      <x:c r="B4" s="67" t="str">
        <x:v>Before every audit</x:v>
      </x:c>
      <x:c r="C4" s="67" t="str">
        <x:v>Find latest GitHub SHA, compare with previous reviewed SHA and inspect changed paths.</x:v>
      </x:c>
      <x:c r="D4" s="67" t="str">
        <x:v>Never infer a fix from commit message.</x:v>
      </x:c>
    </x:row>
    <x:row r="5" ht="62" customHeight="1">
      <x:c r="A5" s="67" t="str">
        <x:v>02</x:v>
      </x:c>
      <x:c r="B5" s="67" t="str">
        <x:v>Recheck existing findings</x:v>
      </x:c>
      <x:c r="C5" s="67" t="str">
        <x:v>For OPEN / PARTIAL / FIXED_IN_CODE, inspect relevant source, tests and provider effects.</x:v>
      </x:c>
      <x:c r="D5" s="67" t="str">
        <x:v>Keep the same ID even after a fix.</x:v>
      </x:c>
    </x:row>
    <x:row r="6" ht="62" customHeight="1">
      <x:c r="A6" s="67" t="str">
        <x:v>03</x:v>
      </x:c>
      <x:c r="B6" s="67" t="str">
        <x:v>Register new findings</x:v>
      </x:c>
      <x:c r="C6" s="67" t="str">
        <x:v>Append a new stable ID (NEW-319 onward) with impact, exact paths and minimal proof.</x:v>
      </x:c>
      <x:c r="D6" s="67" t="str">
        <x:v>Do not conflate risks with exploits.</x:v>
      </x:c>
    </x:row>
    <x:row r="7" ht="62" customHeight="1">
      <x:c r="A7" s="67" t="str">
        <x:v>04</x:v>
      </x:c>
      <x:c r="B7" s="67" t="str">
        <x:v>Update status</x:v>
      </x:c>
      <x:c r="C7" s="67" t="str">
        <x:v>OPEN → FIXED_IN_CODE → TESTED → CLOSED; use REGRESSION when a bug reappears.</x:v>
      </x:c>
      <x:c r="D7" s="67" t="str">
        <x:v>Change History must record old/new SHA.</x:v>
      </x:c>
    </x:row>
    <x:row r="8" ht="62" customHeight="1">
      <x:c r="A8" s="67" t="str">
        <x:v>05</x:v>
      </x:c>
      <x:c r="B8" s="67" t="str">
        <x:v>Never fake validations</x:v>
      </x:c>
      <x:c r="C8" s="67" t="str">
        <x:v>Static source checks ≠ running tests ≠ real infra verification ≠ visual pixel diff.</x:v>
      </x:c>
      <x:c r="D8" s="67" t="str">
        <x:v>Mark data you cannot test NEEDS_VERIFICATION.</x:v>
      </x:c>
    </x:row>
    <x:row r="9" ht="62" customHeight="1">
      <x:c r="A9" s="67" t="str">
        <x:v>06</x:v>
      </x:c>
      <x:c r="B9" s="67" t="str">
        <x:v>Share fixes with coding agent</x:v>
      </x:c>
      <x:c r="C9" s="67" t="str">
        <x:v>Filter Findings by OPEN/PARTIAL and P0/P1; send only IDs, evidence, fixes and acceptance tests.</x:v>
      </x:c>
      <x:c r="D9" s="67" t="str">
        <x:v>Avoid rewriting whole roadmap every push.</x:v>
      </x:c>
    </x:row>
    <x:row r="10" ht="62" customHeight="1">
      <x:c r="A10" s="67" t="str">
        <x:v>07</x:v>
      </x:c>
      <x:c r="B10" s="67" t="str">
        <x:v>Keep one canonical workbook</x:v>
      </x:c>
      <x:c r="C10" s="67" t="str">
        <x:v>Upload the most recent .xlsx in the follow-up audit; update existing file instead of starting a new workbook.</x:v>
      </x:c>
      <x:c r="D10" s="67" t="str">
        <x:v>Excel stored in conversation; attach in future sessions for certainty.</x:v>
      </x:c>
    </x:row>
    <x:row r="11" ht="62" customHeight="1">
      <x:c r="A11" s="67" t="str">
        <x:v>08</x:v>
      </x:c>
      <x:c r="B11" s="67" t="str">
        <x:v>Release gate</x:v>
      </x:c>
      <x:c r="C11" s="67" t="str">
        <x:v>No live commercial launch with outstanding P0 issues or untested external money/provisioning flows.</x:v>
      </x:c>
      <x:c r="D11" s="67" t="str">
        <x:v>Do not assert 100% security.</x:v>
      </x:c>
    </x:row>
    <x:row r="13" ht="28" customHeight="1">
      <x:c r="A13" s="38" t="str">
        <x:v>SOURCE &amp; TRUST LEVELS</x:v>
      </x:c>
      <x:c r="B13" s="38"/>
      <x:c r="C13" s="38"/>
      <x:c r="D13" s="38"/>
    </x:row>
    <x:row r="14" ht="35" customHeight="1">
      <x:c r="A14" s="66" t="str">
        <x:v>Initial report</x:v>
      </x:c>
      <x:c r="B14" s="66" t="str">
        <x:v>9dacfcb</x:v>
      </x:c>
      <x:c r="C14" s="66" t="str">
        <x:v>Static repo review</x:v>
      </x:c>
      <x:c r="D14" s="66" t="str">
        <x:v>No independent tests</x:v>
      </x:c>
    </x:row>
    <x:row r="15" ht="35" customHeight="1">
      <x:c r="A15" s="66" t="str">
        <x:v>Post push</x:v>
      </x:c>
      <x:c r="B15" s="66" t="str">
        <x:v>6203687</x:v>
      </x:c>
      <x:c r="C15" s="66" t="str">
        <x:v>Static diff + source evidence</x:v>
      </x:c>
      <x:c r="D15" s="66" t="str">
        <x:v>Source statements only</x:v>
      </x:c>
    </x:row>
    <x:row r="16" ht="35" customHeight="1">
      <x:c r="A16" s="66" t="str">
        <x:v>Incremental review</x:v>
      </x:c>
      <x:c r="B16" s="66" t="str">
        <x:v>6203687</x:v>
      </x:c>
      <x:c r="C16" s="66" t="str">
        <x:v>Static additional module inspection</x:v>
      </x:c>
      <x:c r="D16" s="66" t="str">
        <x:v>Not a live penetration test</x:v>
      </x:c>
    </x:row>
    <x:row r="17" ht="35" customHeight="1">
      <x:c r="A17" s="66" t="str">
        <x:v>Latest additional pass</x:v>
      </x:c>
      <x:c r="B17" s="66" t="str">
        <x:v>6203687</x:v>
      </x:c>
      <x:c r="C17" s="66" t="str">
        <x:v>Source review of checkout/mod downloads</x:v>
      </x:c>
      <x:c r="D17" s="66" t="str">
        <x:v>New items NEW-314..NEW-318</x:v>
      </x:c>
    </x:row>
    <x:row r="18" ht="35" customHeight="1">
      <x:c r="A18" s="66" t="str">
        <x:v>Future work</x:v>
      </x:c>
      <x:c r="B18" s="66" t="str">
        <x:v>Next SHA</x:v>
      </x:c>
      <x:c r="C18" s="66" t="str">
        <x:v>Execute regression and provider E2E in disposable sandbox</x:v>
      </x:c>
      <x:c r="D18" s="66" t="str">
        <x:v>Require explicit proof before CLOSED</x:v>
      </x:c>
    </x:row>
  </x:sheetData>
  <x:mergeCells>
    <x:mergeCell ref="A1:D1"/>
    <x:mergeCell ref="A13:D13"/>
  </x:mergeCells>
  <x:pageMargins left="0.7" right="0.7" top="0.75" bottom="0.75" header="0.3" footer="0.3"/>
</x:worksheet>
</file>